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24657ff0c3ddbe/Desktop/social shareholders/"/>
    </mc:Choice>
  </mc:AlternateContent>
  <xr:revisionPtr revIDLastSave="83" documentId="13_ncr:1_{F9E2D9E5-91D9-4729-89F1-7FB2629F3607}" xr6:coauthVersionLast="47" xr6:coauthVersionMax="47" xr10:uidLastSave="{E92B3C74-E8D6-4BFC-BFAD-8FA133A43403}"/>
  <bookViews>
    <workbookView xWindow="-28920" yWindow="-1320" windowWidth="29040" windowHeight="15720" tabRatio="935" activeTab="7" xr2:uid="{75587E1C-02D2-4D49-AB1D-2CECBC39A2CA}"/>
  </bookViews>
  <sheets>
    <sheet name="Transaction Summary" sheetId="7" r:id="rId1"/>
    <sheet name="Summary" sheetId="5" r:id="rId2"/>
    <sheet name="Savings" sheetId="1" r:id="rId3"/>
    <sheet name="Declarations" sheetId="8" r:id="rId4"/>
    <sheet name="Loan statements" sheetId="2" r:id="rId5"/>
    <sheet name="Loans disbursed" sheetId="6" r:id="rId6"/>
    <sheet name="Total Interest earned" sheetId="9" r:id="rId7"/>
    <sheet name="Penalty interest" sheetId="14" r:id="rId8"/>
    <sheet name="Jan Loan Interest" sheetId="3" r:id="rId9"/>
    <sheet name="Feb Loan Interest" sheetId="10" r:id="rId10"/>
    <sheet name="Mar Loan Interest " sheetId="12" r:id="rId11"/>
    <sheet name="Apr Loan Interest" sheetId="13" r:id="rId12"/>
    <sheet name="May loan interest" sheetId="15" r:id="rId13"/>
    <sheet name="June loan interest " sheetId="16" r:id="rId14"/>
    <sheet name="July Loan interest" sheetId="17" r:id="rId15"/>
    <sheet name="August Loan Interest" sheetId="29" r:id="rId16"/>
    <sheet name="September Loan Interest" sheetId="30" r:id="rId17"/>
    <sheet name="Interest equity" sheetId="28" r:id="rId18"/>
  </sheets>
  <definedNames>
    <definedName name="_xlnm.Print_Area" localSheetId="11">'Apr Loan Interest'!$A$1:$P$32</definedName>
    <definedName name="_xlnm.Print_Area" localSheetId="3">Declarations!$A$156:$M$181</definedName>
    <definedName name="_xlnm.Print_Area" localSheetId="9">'Feb Loan Interest'!$A$1:$P$34</definedName>
    <definedName name="_xlnm.Print_Area" localSheetId="8">'Jan Loan Interest'!$A$1:$P$33</definedName>
    <definedName name="_xlnm.Print_Area" localSheetId="4">'Loan statements'!$A$149:$I$199</definedName>
    <definedName name="_xlnm.Print_Area" localSheetId="5">'Loans disbursed'!$A$1:$O$21</definedName>
    <definedName name="_xlnm.Print_Area" localSheetId="10">'Mar Loan Interest '!$A$1:$P$32</definedName>
    <definedName name="_xlnm.Print_Area" localSheetId="7">'Penalty interest'!$A$1:$M$24</definedName>
    <definedName name="_xlnm.Print_Area" localSheetId="2">Savings!$A$1:$O$21</definedName>
    <definedName name="_xlnm.Print_Area" localSheetId="1">Summary!$A$1:$H$19</definedName>
    <definedName name="_xlnm.Print_Area" localSheetId="6">'Total Interest earned'!$A$1:$O$20</definedName>
    <definedName name="_xlnm.Print_Area" localSheetId="0">'Transaction Summary'!$A$1:$D$27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5" i="2" l="1"/>
  <c r="F166" i="2"/>
  <c r="F165" i="2"/>
  <c r="F164" i="2"/>
  <c r="C5" i="7"/>
  <c r="E5" i="29"/>
  <c r="E6" i="29"/>
  <c r="E7" i="29"/>
  <c r="E8" i="29"/>
  <c r="E9" i="29"/>
  <c r="E10" i="29"/>
  <c r="E11" i="29"/>
  <c r="E12" i="29"/>
  <c r="E13" i="29"/>
  <c r="E14" i="29"/>
  <c r="E15" i="29"/>
  <c r="E16" i="29"/>
  <c r="E21" i="29"/>
  <c r="E20" i="29"/>
  <c r="E4" i="29"/>
  <c r="O9" i="29"/>
  <c r="L4" i="17"/>
  <c r="K173" i="8"/>
  <c r="L173" i="8"/>
  <c r="D173" i="8"/>
  <c r="E173" i="8"/>
  <c r="F173" i="8"/>
  <c r="G173" i="8"/>
  <c r="H173" i="8"/>
  <c r="I173" i="8"/>
  <c r="L22" i="17" s="1"/>
  <c r="L23" i="17" s="1"/>
  <c r="J173" i="8"/>
  <c r="C173" i="8"/>
  <c r="L6" i="16"/>
  <c r="L7" i="16"/>
  <c r="L25" i="16"/>
  <c r="L8" i="16" s="1"/>
  <c r="L31" i="12"/>
  <c r="L32" i="12" s="1"/>
  <c r="D186" i="2"/>
  <c r="D179" i="2"/>
  <c r="G179" i="2" s="1"/>
  <c r="G5" i="5" s="1"/>
  <c r="D177" i="2"/>
  <c r="L24" i="16"/>
  <c r="L26" i="15"/>
  <c r="L27" i="15" s="1"/>
  <c r="L28" i="13"/>
  <c r="L29" i="13" s="1"/>
  <c r="L33" i="10"/>
  <c r="L34" i="10"/>
  <c r="L8" i="10" s="1"/>
  <c r="K19" i="9"/>
  <c r="K6" i="9"/>
  <c r="K7" i="9"/>
  <c r="K8" i="9"/>
  <c r="K9" i="9"/>
  <c r="K10" i="9"/>
  <c r="K11" i="9"/>
  <c r="K12" i="9"/>
  <c r="K13" i="9"/>
  <c r="K14" i="9"/>
  <c r="K15" i="9"/>
  <c r="K16" i="9"/>
  <c r="K17" i="9"/>
  <c r="K5" i="9"/>
  <c r="H18" i="30"/>
  <c r="G18" i="30"/>
  <c r="F18" i="30"/>
  <c r="E18" i="30"/>
  <c r="C18" i="30"/>
  <c r="D16" i="30"/>
  <c r="J16" i="30" s="1"/>
  <c r="D15" i="30"/>
  <c r="J15" i="30" s="1"/>
  <c r="D14" i="30"/>
  <c r="J14" i="30" s="1"/>
  <c r="D13" i="30"/>
  <c r="J13" i="30" s="1"/>
  <c r="D12" i="30"/>
  <c r="J12" i="30" s="1"/>
  <c r="D11" i="30"/>
  <c r="J11" i="30" s="1"/>
  <c r="D10" i="30"/>
  <c r="J10" i="30" s="1"/>
  <c r="D9" i="30"/>
  <c r="J9" i="30" s="1"/>
  <c r="D8" i="30"/>
  <c r="J8" i="30" s="1"/>
  <c r="D7" i="30"/>
  <c r="J7" i="30" s="1"/>
  <c r="D6" i="30"/>
  <c r="J6" i="30" s="1"/>
  <c r="D5" i="30"/>
  <c r="J5" i="30" s="1"/>
  <c r="D4" i="30"/>
  <c r="F169" i="2"/>
  <c r="F167" i="2"/>
  <c r="F163" i="2"/>
  <c r="F162" i="2"/>
  <c r="F161" i="2"/>
  <c r="F159" i="2"/>
  <c r="F158" i="2"/>
  <c r="F156" i="2"/>
  <c r="F154" i="2"/>
  <c r="F153" i="2"/>
  <c r="F152" i="2"/>
  <c r="E179" i="2"/>
  <c r="G177" i="2"/>
  <c r="G4" i="5" s="1"/>
  <c r="F195" i="2"/>
  <c r="F194" i="2"/>
  <c r="F193" i="2"/>
  <c r="F191" i="2"/>
  <c r="F190" i="2"/>
  <c r="F189" i="2"/>
  <c r="F188" i="2"/>
  <c r="F187" i="2"/>
  <c r="G186" i="2"/>
  <c r="G10" i="5" s="1"/>
  <c r="F185" i="2"/>
  <c r="F184" i="2"/>
  <c r="F182" i="2"/>
  <c r="F181" i="2"/>
  <c r="F180" i="2"/>
  <c r="F178" i="2"/>
  <c r="C16" i="7"/>
  <c r="C4" i="7"/>
  <c r="O5" i="6"/>
  <c r="O6" i="6"/>
  <c r="O7" i="6"/>
  <c r="O8" i="6"/>
  <c r="O9" i="6"/>
  <c r="O10" i="6"/>
  <c r="O11" i="6"/>
  <c r="O12" i="6"/>
  <c r="O13" i="6"/>
  <c r="O14" i="6"/>
  <c r="O15" i="6"/>
  <c r="O16" i="6"/>
  <c r="O4" i="6"/>
  <c r="M171" i="8"/>
  <c r="M170" i="8"/>
  <c r="M169" i="8"/>
  <c r="M168" i="8"/>
  <c r="M167" i="8"/>
  <c r="M166" i="8"/>
  <c r="M165" i="8"/>
  <c r="M164" i="8"/>
  <c r="M163" i="8"/>
  <c r="M162" i="8"/>
  <c r="M161" i="8"/>
  <c r="M160" i="8"/>
  <c r="M159" i="8"/>
  <c r="K18" i="1"/>
  <c r="F144" i="2"/>
  <c r="M173" i="8" l="1"/>
  <c r="L5" i="13"/>
  <c r="L4" i="13"/>
  <c r="L8" i="13"/>
  <c r="L12" i="13"/>
  <c r="L16" i="13"/>
  <c r="L6" i="13"/>
  <c r="L10" i="13"/>
  <c r="L14" i="13"/>
  <c r="L7" i="13"/>
  <c r="L15" i="13"/>
  <c r="L9" i="13"/>
  <c r="L11" i="13"/>
  <c r="L13" i="13"/>
  <c r="L8" i="15"/>
  <c r="L14" i="15"/>
  <c r="L5" i="15"/>
  <c r="L9" i="15"/>
  <c r="L11" i="15"/>
  <c r="L16" i="15"/>
  <c r="L7" i="15"/>
  <c r="L10" i="15"/>
  <c r="L15" i="15"/>
  <c r="L12" i="15"/>
  <c r="L13" i="15"/>
  <c r="L4" i="15"/>
  <c r="L6" i="15"/>
  <c r="L16" i="17"/>
  <c r="L15" i="17"/>
  <c r="L5" i="17"/>
  <c r="L7" i="17"/>
  <c r="L9" i="17"/>
  <c r="L10" i="17"/>
  <c r="L12" i="17"/>
  <c r="L6" i="17"/>
  <c r="L8" i="17"/>
  <c r="L14" i="17"/>
  <c r="L11" i="17"/>
  <c r="L13" i="17"/>
  <c r="L13" i="16"/>
  <c r="L14" i="16"/>
  <c r="L12" i="16"/>
  <c r="L16" i="16"/>
  <c r="L10" i="16"/>
  <c r="L4" i="16"/>
  <c r="L15" i="16"/>
  <c r="L11" i="16"/>
  <c r="L9" i="16"/>
  <c r="L5" i="16"/>
  <c r="L10" i="10"/>
  <c r="L7" i="10"/>
  <c r="L6" i="10"/>
  <c r="L4" i="10"/>
  <c r="L5" i="10"/>
  <c r="L16" i="10"/>
  <c r="L15" i="10"/>
  <c r="L14" i="10"/>
  <c r="L13" i="10"/>
  <c r="L12" i="10"/>
  <c r="L11" i="10"/>
  <c r="L9" i="10"/>
  <c r="L12" i="12"/>
  <c r="L13" i="12"/>
  <c r="L14" i="12"/>
  <c r="L15" i="12"/>
  <c r="L16" i="12"/>
  <c r="L5" i="12"/>
  <c r="L4" i="12"/>
  <c r="L6" i="12"/>
  <c r="L7" i="12"/>
  <c r="L8" i="12"/>
  <c r="L9" i="12"/>
  <c r="L10" i="12"/>
  <c r="L11" i="12"/>
  <c r="D197" i="2"/>
  <c r="D18" i="30"/>
  <c r="J4" i="30"/>
  <c r="J18" i="30" s="1"/>
  <c r="F197" i="2"/>
  <c r="E177" i="2"/>
  <c r="E186" i="2"/>
  <c r="J7" i="9"/>
  <c r="J8" i="9"/>
  <c r="J11" i="9"/>
  <c r="J4" i="29"/>
  <c r="J5" i="9" s="1"/>
  <c r="D18" i="29"/>
  <c r="D11" i="29"/>
  <c r="J11" i="29" s="1"/>
  <c r="J12" i="9" s="1"/>
  <c r="D8" i="29"/>
  <c r="J8" i="29" s="1"/>
  <c r="J9" i="9" s="1"/>
  <c r="D7" i="29"/>
  <c r="J7" i="29" s="1"/>
  <c r="D6" i="29"/>
  <c r="J6" i="29" s="1"/>
  <c r="D5" i="29"/>
  <c r="D4" i="29"/>
  <c r="D12" i="29"/>
  <c r="J12" i="29" s="1"/>
  <c r="J13" i="9" s="1"/>
  <c r="D13" i="29"/>
  <c r="J13" i="29" s="1"/>
  <c r="J14" i="9" s="1"/>
  <c r="D14" i="29"/>
  <c r="J14" i="29" s="1"/>
  <c r="J15" i="9" s="1"/>
  <c r="D15" i="29"/>
  <c r="J15" i="29" s="1"/>
  <c r="J16" i="9" s="1"/>
  <c r="D16" i="29"/>
  <c r="J16" i="29" s="1"/>
  <c r="J17" i="9" s="1"/>
  <c r="D9" i="29"/>
  <c r="J9" i="29" s="1"/>
  <c r="J10" i="9" s="1"/>
  <c r="D10" i="29"/>
  <c r="J10" i="29" s="1"/>
  <c r="E18" i="29"/>
  <c r="G166" i="2"/>
  <c r="C192" i="2" s="1"/>
  <c r="E192" i="2" s="1"/>
  <c r="E166" i="2"/>
  <c r="D166" i="2"/>
  <c r="D155" i="2"/>
  <c r="E155" i="2" s="1"/>
  <c r="J18" i="1"/>
  <c r="F142" i="2"/>
  <c r="F141" i="2"/>
  <c r="F140" i="2"/>
  <c r="F139" i="2"/>
  <c r="F138" i="2"/>
  <c r="F137" i="2"/>
  <c r="F135" i="2"/>
  <c r="F134" i="2"/>
  <c r="F131" i="2"/>
  <c r="F130" i="2"/>
  <c r="H18" i="29"/>
  <c r="G18" i="29"/>
  <c r="F18" i="29"/>
  <c r="K153" i="8"/>
  <c r="J153" i="8"/>
  <c r="I153" i="8"/>
  <c r="K20" i="17" s="1"/>
  <c r="K21" i="17" s="1"/>
  <c r="K11" i="17" s="1"/>
  <c r="H153" i="8"/>
  <c r="K22" i="16" s="1"/>
  <c r="K23" i="16" s="1"/>
  <c r="K15" i="16" s="1"/>
  <c r="G153" i="8"/>
  <c r="K24" i="15" s="1"/>
  <c r="K25" i="15" s="1"/>
  <c r="F153" i="8"/>
  <c r="K26" i="13" s="1"/>
  <c r="K27" i="13" s="1"/>
  <c r="E153" i="8"/>
  <c r="K29" i="12" s="1"/>
  <c r="K30" i="12" s="1"/>
  <c r="D153" i="8"/>
  <c r="K31" i="10" s="1"/>
  <c r="K32" i="10" s="1"/>
  <c r="C153" i="8"/>
  <c r="L151" i="8"/>
  <c r="L150" i="8"/>
  <c r="L149" i="8"/>
  <c r="L148" i="8"/>
  <c r="L147" i="8"/>
  <c r="L146" i="8"/>
  <c r="L145" i="8"/>
  <c r="L144" i="8"/>
  <c r="L143" i="8"/>
  <c r="L142" i="8"/>
  <c r="L141" i="8"/>
  <c r="L140" i="8"/>
  <c r="L139" i="8"/>
  <c r="K13" i="15" l="1"/>
  <c r="K14" i="15"/>
  <c r="K5" i="10"/>
  <c r="K6" i="10"/>
  <c r="K7" i="10"/>
  <c r="K8" i="10"/>
  <c r="K9" i="10"/>
  <c r="K10" i="10"/>
  <c r="K11" i="10"/>
  <c r="K12" i="10"/>
  <c r="K13" i="10"/>
  <c r="K14" i="10"/>
  <c r="K15" i="10"/>
  <c r="K4" i="10"/>
  <c r="K16" i="10"/>
  <c r="K10" i="12"/>
  <c r="K9" i="12"/>
  <c r="K7" i="12"/>
  <c r="K4" i="12"/>
  <c r="K15" i="12"/>
  <c r="K14" i="12"/>
  <c r="K11" i="12"/>
  <c r="K8" i="12"/>
  <c r="K6" i="12"/>
  <c r="K5" i="12"/>
  <c r="K16" i="12"/>
  <c r="K13" i="12"/>
  <c r="K12" i="12"/>
  <c r="K11" i="13"/>
  <c r="K9" i="13"/>
  <c r="K7" i="13"/>
  <c r="K4" i="13"/>
  <c r="K15" i="13"/>
  <c r="K14" i="13"/>
  <c r="K13" i="13"/>
  <c r="K12" i="13"/>
  <c r="K10" i="13"/>
  <c r="K8" i="13"/>
  <c r="K6" i="13"/>
  <c r="K5" i="13"/>
  <c r="K16" i="13"/>
  <c r="K4" i="15"/>
  <c r="K16" i="15"/>
  <c r="K7" i="16"/>
  <c r="K6" i="15"/>
  <c r="K9" i="16"/>
  <c r="K12" i="17"/>
  <c r="K10" i="16"/>
  <c r="K13" i="17"/>
  <c r="K9" i="15"/>
  <c r="K12" i="16"/>
  <c r="K15" i="17"/>
  <c r="K11" i="15"/>
  <c r="K16" i="17"/>
  <c r="K14" i="16"/>
  <c r="K12" i="15"/>
  <c r="K16" i="16"/>
  <c r="K5" i="16"/>
  <c r="K15" i="15"/>
  <c r="K6" i="16"/>
  <c r="K5" i="15"/>
  <c r="K8" i="16"/>
  <c r="K4" i="17"/>
  <c r="P4" i="17" s="1"/>
  <c r="I5" i="9" s="1"/>
  <c r="K7" i="15"/>
  <c r="K8" i="15"/>
  <c r="K11" i="16"/>
  <c r="K14" i="17"/>
  <c r="K10" i="15"/>
  <c r="K13" i="16"/>
  <c r="K4" i="16"/>
  <c r="G192" i="2"/>
  <c r="G155" i="2"/>
  <c r="C181" i="2" s="1"/>
  <c r="K5" i="17"/>
  <c r="K6" i="17"/>
  <c r="K7" i="17"/>
  <c r="K8" i="17"/>
  <c r="K9" i="17"/>
  <c r="K10" i="17"/>
  <c r="P10" i="17" s="1"/>
  <c r="I11" i="9" s="1"/>
  <c r="C18" i="29"/>
  <c r="F171" i="2"/>
  <c r="J5" i="29"/>
  <c r="J6" i="9" s="1"/>
  <c r="D171" i="2"/>
  <c r="L153" i="8"/>
  <c r="I16" i="28"/>
  <c r="H16" i="28"/>
  <c r="I15" i="28"/>
  <c r="H15" i="28"/>
  <c r="G15" i="28"/>
  <c r="G16" i="28" s="1"/>
  <c r="F15" i="28"/>
  <c r="F16" i="28" s="1"/>
  <c r="E15" i="28"/>
  <c r="E16" i="28" s="1"/>
  <c r="D15" i="28"/>
  <c r="D16" i="28" s="1"/>
  <c r="C15" i="28"/>
  <c r="C16" i="28" s="1"/>
  <c r="J132" i="8"/>
  <c r="C10" i="7" s="1"/>
  <c r="N18" i="17"/>
  <c r="M18" i="17"/>
  <c r="L18" i="17"/>
  <c r="J18" i="17"/>
  <c r="H18" i="17"/>
  <c r="G18" i="17"/>
  <c r="F18" i="17"/>
  <c r="E18" i="17"/>
  <c r="D18" i="17"/>
  <c r="C18" i="17"/>
  <c r="J16" i="17"/>
  <c r="P16" i="17" s="1"/>
  <c r="I17" i="9" s="1"/>
  <c r="J15" i="17"/>
  <c r="P15" i="17" s="1"/>
  <c r="I16" i="9" s="1"/>
  <c r="J14" i="17"/>
  <c r="J13" i="17"/>
  <c r="J12" i="17"/>
  <c r="P12" i="17" s="1"/>
  <c r="I13" i="9" s="1"/>
  <c r="J11" i="17"/>
  <c r="P11" i="17" s="1"/>
  <c r="I12" i="9" s="1"/>
  <c r="J10" i="17"/>
  <c r="J9" i="17"/>
  <c r="J8" i="17"/>
  <c r="J7" i="17"/>
  <c r="J6" i="17"/>
  <c r="J5" i="17"/>
  <c r="J4" i="17"/>
  <c r="D133" i="2"/>
  <c r="E133" i="2" s="1"/>
  <c r="D130" i="2"/>
  <c r="D138" i="2"/>
  <c r="E137" i="2"/>
  <c r="D142" i="2"/>
  <c r="D141" i="2"/>
  <c r="G141" i="2" s="1"/>
  <c r="C165" i="2" s="1"/>
  <c r="G165" i="2" s="1"/>
  <c r="C191" i="2" s="1"/>
  <c r="D144" i="2"/>
  <c r="F120" i="2"/>
  <c r="F118" i="2"/>
  <c r="F117" i="2"/>
  <c r="F116" i="2"/>
  <c r="F115" i="2"/>
  <c r="F113" i="2"/>
  <c r="F112" i="2"/>
  <c r="F111" i="2"/>
  <c r="F110" i="2"/>
  <c r="F109" i="2"/>
  <c r="I7" i="1"/>
  <c r="I8" i="1"/>
  <c r="I9" i="1"/>
  <c r="I10" i="1"/>
  <c r="I11" i="1"/>
  <c r="I12" i="1"/>
  <c r="I13" i="1"/>
  <c r="I14" i="1"/>
  <c r="I15" i="1"/>
  <c r="I16" i="1"/>
  <c r="I4" i="1"/>
  <c r="K18" i="17" l="1"/>
  <c r="K18" i="10"/>
  <c r="P5" i="17"/>
  <c r="I6" i="9" s="1"/>
  <c r="E181" i="2"/>
  <c r="G181" i="2"/>
  <c r="G191" i="2"/>
  <c r="E191" i="2"/>
  <c r="I18" i="1"/>
  <c r="P8" i="17"/>
  <c r="I9" i="9" s="1"/>
  <c r="P9" i="17"/>
  <c r="I10" i="9" s="1"/>
  <c r="P13" i="17"/>
  <c r="I14" i="9" s="1"/>
  <c r="P14" i="17"/>
  <c r="I15" i="9" s="1"/>
  <c r="P7" i="17"/>
  <c r="I8" i="9" s="1"/>
  <c r="J18" i="29"/>
  <c r="J19" i="9"/>
  <c r="G144" i="2"/>
  <c r="C169" i="2"/>
  <c r="E165" i="2"/>
  <c r="G133" i="2"/>
  <c r="C157" i="2" s="1"/>
  <c r="I18" i="17"/>
  <c r="P6" i="17"/>
  <c r="I7" i="9" s="1"/>
  <c r="E141" i="2"/>
  <c r="G142" i="2"/>
  <c r="G137" i="2"/>
  <c r="C161" i="2" s="1"/>
  <c r="F146" i="2"/>
  <c r="D146" i="2"/>
  <c r="E142" i="2"/>
  <c r="E144" i="2"/>
  <c r="K132" i="8"/>
  <c r="C11" i="7" s="1"/>
  <c r="I132" i="8"/>
  <c r="J20" i="16" s="1"/>
  <c r="J21" i="16" s="1"/>
  <c r="H132" i="8"/>
  <c r="J22" i="15" s="1"/>
  <c r="J23" i="15" s="1"/>
  <c r="J5" i="15" s="1"/>
  <c r="G132" i="8"/>
  <c r="J24" i="13" s="1"/>
  <c r="J25" i="13" s="1"/>
  <c r="F132" i="8"/>
  <c r="J27" i="12" s="1"/>
  <c r="J28" i="12" s="1"/>
  <c r="E132" i="8"/>
  <c r="D132" i="8"/>
  <c r="C132" i="8"/>
  <c r="L130" i="8"/>
  <c r="L129" i="8"/>
  <c r="L128" i="8"/>
  <c r="L127" i="8"/>
  <c r="L126" i="8"/>
  <c r="L125" i="8"/>
  <c r="L124" i="8"/>
  <c r="L123" i="8"/>
  <c r="L122" i="8"/>
  <c r="L121" i="8"/>
  <c r="L120" i="8"/>
  <c r="L119" i="8"/>
  <c r="L118" i="8"/>
  <c r="I5" i="16"/>
  <c r="I6" i="16"/>
  <c r="I7" i="16"/>
  <c r="I8" i="16"/>
  <c r="I9" i="16"/>
  <c r="I10" i="16"/>
  <c r="I11" i="16"/>
  <c r="I12" i="16"/>
  <c r="I13" i="16"/>
  <c r="I14" i="16"/>
  <c r="I15" i="16"/>
  <c r="I16" i="16"/>
  <c r="I4" i="16"/>
  <c r="N18" i="16"/>
  <c r="M18" i="16"/>
  <c r="L18" i="16"/>
  <c r="K18" i="16"/>
  <c r="G18" i="16"/>
  <c r="F18" i="16"/>
  <c r="E18" i="16"/>
  <c r="D18" i="16"/>
  <c r="C18" i="16"/>
  <c r="C116" i="2"/>
  <c r="D116" i="2" s="1"/>
  <c r="E116" i="2" s="1"/>
  <c r="C111" i="2"/>
  <c r="H112" i="8"/>
  <c r="F88" i="2"/>
  <c r="H5" i="1"/>
  <c r="H6" i="1"/>
  <c r="H7" i="1"/>
  <c r="H8" i="1"/>
  <c r="H9" i="1"/>
  <c r="H10" i="1"/>
  <c r="H11" i="1"/>
  <c r="H12" i="1"/>
  <c r="H13" i="1"/>
  <c r="H14" i="1"/>
  <c r="H15" i="1"/>
  <c r="H16" i="1"/>
  <c r="H4" i="1"/>
  <c r="F98" i="2"/>
  <c r="F97" i="2"/>
  <c r="F96" i="2"/>
  <c r="F95" i="2"/>
  <c r="F94" i="2"/>
  <c r="F92" i="2"/>
  <c r="F91" i="2"/>
  <c r="F90" i="2"/>
  <c r="F89" i="2"/>
  <c r="F87" i="2"/>
  <c r="F119" i="2"/>
  <c r="F121" i="2"/>
  <c r="I19" i="9" l="1"/>
  <c r="J16" i="15"/>
  <c r="J29" i="10"/>
  <c r="J30" i="10" s="1"/>
  <c r="P18" i="17"/>
  <c r="E169" i="2"/>
  <c r="G169" i="2"/>
  <c r="C195" i="2" s="1"/>
  <c r="E161" i="2"/>
  <c r="G161" i="2"/>
  <c r="C187" i="2" s="1"/>
  <c r="C167" i="2"/>
  <c r="E157" i="2"/>
  <c r="G157" i="2"/>
  <c r="C183" i="2" s="1"/>
  <c r="J13" i="16"/>
  <c r="P13" i="16" s="1"/>
  <c r="H14" i="9" s="1"/>
  <c r="J9" i="16"/>
  <c r="J10" i="16"/>
  <c r="J12" i="16"/>
  <c r="P12" i="16" s="1"/>
  <c r="H13" i="9" s="1"/>
  <c r="J11" i="16"/>
  <c r="I20" i="15"/>
  <c r="I21" i="15" s="1"/>
  <c r="J12" i="15"/>
  <c r="J15" i="16"/>
  <c r="J11" i="15"/>
  <c r="J16" i="16"/>
  <c r="P16" i="16" s="1"/>
  <c r="H17" i="9" s="1"/>
  <c r="J14" i="15"/>
  <c r="J5" i="16"/>
  <c r="P5" i="16" s="1"/>
  <c r="H6" i="9" s="1"/>
  <c r="J9" i="15"/>
  <c r="J6" i="16"/>
  <c r="J7" i="15"/>
  <c r="J7" i="16"/>
  <c r="P7" i="16" s="1"/>
  <c r="H8" i="9" s="1"/>
  <c r="J13" i="15"/>
  <c r="J4" i="16"/>
  <c r="J6" i="15"/>
  <c r="J8" i="16"/>
  <c r="P8" i="16" s="1"/>
  <c r="H9" i="9" s="1"/>
  <c r="J15" i="15"/>
  <c r="J14" i="16"/>
  <c r="P14" i="16" s="1"/>
  <c r="H15" i="9" s="1"/>
  <c r="J10" i="15"/>
  <c r="J8" i="15"/>
  <c r="J4" i="15"/>
  <c r="J10" i="12"/>
  <c r="J11" i="12"/>
  <c r="J12" i="12"/>
  <c r="J13" i="12"/>
  <c r="J16" i="12"/>
  <c r="J4" i="12"/>
  <c r="J14" i="12"/>
  <c r="J6" i="12"/>
  <c r="J15" i="12"/>
  <c r="J5" i="12"/>
  <c r="J7" i="12"/>
  <c r="J8" i="12"/>
  <c r="J9" i="12"/>
  <c r="J8" i="13"/>
  <c r="J12" i="13"/>
  <c r="J14" i="13"/>
  <c r="J16" i="13"/>
  <c r="J4" i="13"/>
  <c r="J7" i="13"/>
  <c r="J9" i="13"/>
  <c r="J10" i="13"/>
  <c r="J11" i="13"/>
  <c r="J13" i="13"/>
  <c r="J15" i="13"/>
  <c r="J5" i="13"/>
  <c r="J6" i="13"/>
  <c r="G116" i="2"/>
  <c r="H18" i="1"/>
  <c r="F123" i="2"/>
  <c r="L132" i="8"/>
  <c r="H18" i="16"/>
  <c r="P15" i="16"/>
  <c r="H16" i="9" s="1"/>
  <c r="P11" i="16"/>
  <c r="H12" i="9" s="1"/>
  <c r="P10" i="16"/>
  <c r="H11" i="9" s="1"/>
  <c r="P6" i="16"/>
  <c r="H7" i="9" s="1"/>
  <c r="P9" i="16"/>
  <c r="H10" i="9" s="1"/>
  <c r="J7" i="10" l="1"/>
  <c r="J10" i="10"/>
  <c r="J11" i="10"/>
  <c r="J9" i="10"/>
  <c r="J5" i="10"/>
  <c r="J8" i="10"/>
  <c r="J12" i="10"/>
  <c r="J15" i="10"/>
  <c r="J4" i="10"/>
  <c r="J14" i="10"/>
  <c r="J16" i="10"/>
  <c r="J13" i="10"/>
  <c r="J6" i="10"/>
  <c r="P4" i="16"/>
  <c r="H5" i="9" s="1"/>
  <c r="H19" i="9" s="1"/>
  <c r="G183" i="2"/>
  <c r="E183" i="2"/>
  <c r="G187" i="2"/>
  <c r="E187" i="2"/>
  <c r="G195" i="2"/>
  <c r="G16" i="5" s="1"/>
  <c r="E195" i="2"/>
  <c r="G167" i="2"/>
  <c r="C193" i="2" s="1"/>
  <c r="E167" i="2"/>
  <c r="I13" i="15"/>
  <c r="I14" i="15"/>
  <c r="I5" i="15"/>
  <c r="I10" i="15"/>
  <c r="I11" i="15"/>
  <c r="I15" i="15"/>
  <c r="I4" i="15"/>
  <c r="P4" i="15" s="1"/>
  <c r="I16" i="15"/>
  <c r="P16" i="15" s="1"/>
  <c r="G17" i="9" s="1"/>
  <c r="I6" i="15"/>
  <c r="I7" i="15"/>
  <c r="I12" i="15"/>
  <c r="I8" i="15"/>
  <c r="I9" i="15"/>
  <c r="J18" i="16"/>
  <c r="I18" i="16"/>
  <c r="K112" i="8"/>
  <c r="J112" i="8"/>
  <c r="I112" i="8"/>
  <c r="G112" i="8"/>
  <c r="I22" i="13" s="1"/>
  <c r="I23" i="13" s="1"/>
  <c r="F112" i="8"/>
  <c r="I25" i="12" s="1"/>
  <c r="I26" i="12" s="1"/>
  <c r="E112" i="8"/>
  <c r="I27" i="10" s="1"/>
  <c r="I28" i="10" s="1"/>
  <c r="D112" i="8"/>
  <c r="I31" i="3" s="1"/>
  <c r="I32" i="3" s="1"/>
  <c r="L110" i="8"/>
  <c r="L109" i="8"/>
  <c r="L108" i="8"/>
  <c r="L107" i="8"/>
  <c r="L106" i="8"/>
  <c r="L105" i="8"/>
  <c r="L104" i="8"/>
  <c r="L103" i="8"/>
  <c r="L102" i="8"/>
  <c r="L101" i="8"/>
  <c r="L100" i="8"/>
  <c r="L99" i="8"/>
  <c r="L98" i="8"/>
  <c r="D92" i="2"/>
  <c r="E92" i="2" s="1"/>
  <c r="G18" i="6"/>
  <c r="G18" i="15"/>
  <c r="C6" i="15"/>
  <c r="H6" i="15" s="1"/>
  <c r="N18" i="15"/>
  <c r="M18" i="15"/>
  <c r="L18" i="15"/>
  <c r="K18" i="15"/>
  <c r="J18" i="15"/>
  <c r="H18" i="15"/>
  <c r="F18" i="15"/>
  <c r="E18" i="15"/>
  <c r="D18" i="15"/>
  <c r="H16" i="15"/>
  <c r="H15" i="15"/>
  <c r="H14" i="15"/>
  <c r="H13" i="15"/>
  <c r="H12" i="15"/>
  <c r="H11" i="15"/>
  <c r="P11" i="15" s="1"/>
  <c r="G12" i="9" s="1"/>
  <c r="H10" i="15"/>
  <c r="P10" i="15" s="1"/>
  <c r="G11" i="9" s="1"/>
  <c r="H9" i="15"/>
  <c r="H8" i="15"/>
  <c r="H7" i="15"/>
  <c r="H5" i="15"/>
  <c r="H4" i="15"/>
  <c r="D88" i="2"/>
  <c r="E88" i="2" s="1"/>
  <c r="F77" i="2"/>
  <c r="F75" i="2"/>
  <c r="F74" i="2"/>
  <c r="F73" i="2"/>
  <c r="F70" i="2"/>
  <c r="F68" i="2"/>
  <c r="F67" i="2"/>
  <c r="F66" i="2"/>
  <c r="G5" i="1"/>
  <c r="G7" i="1"/>
  <c r="G8" i="1"/>
  <c r="G9" i="1"/>
  <c r="G10" i="1"/>
  <c r="G11" i="1"/>
  <c r="G12" i="1"/>
  <c r="G13" i="1"/>
  <c r="G14" i="1"/>
  <c r="G15" i="1"/>
  <c r="G16" i="1"/>
  <c r="G4" i="1"/>
  <c r="C82" i="8"/>
  <c r="K82" i="8" s="1"/>
  <c r="G94" i="8"/>
  <c r="H20" i="13" s="1"/>
  <c r="H21" i="13" s="1"/>
  <c r="J94" i="8"/>
  <c r="I94" i="8"/>
  <c r="H94" i="8"/>
  <c r="C6" i="7" s="1"/>
  <c r="F94" i="8"/>
  <c r="H23" i="12" s="1"/>
  <c r="H24" i="12" s="1"/>
  <c r="E94" i="8"/>
  <c r="H25" i="10" s="1"/>
  <c r="H26" i="10" s="1"/>
  <c r="D94" i="8"/>
  <c r="H28" i="3" s="1"/>
  <c r="H29" i="3" s="1"/>
  <c r="K92" i="8"/>
  <c r="K91" i="8"/>
  <c r="K90" i="8"/>
  <c r="K89" i="8"/>
  <c r="K88" i="8"/>
  <c r="K87" i="8"/>
  <c r="K86" i="8"/>
  <c r="K85" i="8"/>
  <c r="K84" i="8"/>
  <c r="K83" i="8"/>
  <c r="K81" i="8"/>
  <c r="K80" i="8"/>
  <c r="K18" i="14"/>
  <c r="J18" i="14"/>
  <c r="I18" i="14"/>
  <c r="H18" i="14"/>
  <c r="G18" i="14"/>
  <c r="F18" i="14"/>
  <c r="E18" i="14"/>
  <c r="G4" i="13"/>
  <c r="D77" i="2"/>
  <c r="D75" i="2"/>
  <c r="E75" i="2"/>
  <c r="E77" i="2"/>
  <c r="D66" i="2"/>
  <c r="E66" i="2" s="1"/>
  <c r="F53" i="2"/>
  <c r="F52" i="2"/>
  <c r="F49" i="2"/>
  <c r="F48" i="2"/>
  <c r="F47" i="2"/>
  <c r="F46" i="2"/>
  <c r="H75" i="8"/>
  <c r="D18" i="14" s="1"/>
  <c r="P18" i="16" l="1"/>
  <c r="I18" i="15"/>
  <c r="P14" i="15"/>
  <c r="G15" i="9" s="1"/>
  <c r="P13" i="15"/>
  <c r="G14" i="9" s="1"/>
  <c r="P9" i="15"/>
  <c r="G10" i="9" s="1"/>
  <c r="P5" i="15"/>
  <c r="G6" i="9" s="1"/>
  <c r="G193" i="2"/>
  <c r="G14" i="5" s="1"/>
  <c r="E193" i="2"/>
  <c r="P6" i="15"/>
  <c r="G7" i="9" s="1"/>
  <c r="I12" i="13"/>
  <c r="I13" i="13"/>
  <c r="I16" i="13"/>
  <c r="I5" i="13"/>
  <c r="I14" i="13"/>
  <c r="I6" i="13"/>
  <c r="I9" i="13"/>
  <c r="I15" i="13"/>
  <c r="I4" i="13"/>
  <c r="I10" i="13"/>
  <c r="I7" i="13"/>
  <c r="I8" i="13"/>
  <c r="I11" i="13"/>
  <c r="I16" i="10"/>
  <c r="I5" i="10"/>
  <c r="I4" i="10"/>
  <c r="I8" i="10"/>
  <c r="I9" i="10"/>
  <c r="I14" i="10"/>
  <c r="I6" i="10"/>
  <c r="I13" i="10"/>
  <c r="I15" i="10"/>
  <c r="I7" i="10"/>
  <c r="I10" i="10"/>
  <c r="I11" i="10"/>
  <c r="I12" i="10"/>
  <c r="P7" i="15"/>
  <c r="G8" i="9" s="1"/>
  <c r="I13" i="3"/>
  <c r="I14" i="3"/>
  <c r="I6" i="3"/>
  <c r="I15" i="3"/>
  <c r="I4" i="3"/>
  <c r="I7" i="3"/>
  <c r="I9" i="3"/>
  <c r="I12" i="3"/>
  <c r="I16" i="3"/>
  <c r="I5" i="3"/>
  <c r="I10" i="3"/>
  <c r="I11" i="3"/>
  <c r="I8" i="3"/>
  <c r="I11" i="12"/>
  <c r="I12" i="12"/>
  <c r="I5" i="12"/>
  <c r="I9" i="12"/>
  <c r="I13" i="12"/>
  <c r="I16" i="12"/>
  <c r="I14" i="12"/>
  <c r="I15" i="12"/>
  <c r="I4" i="12"/>
  <c r="I8" i="12"/>
  <c r="I10" i="12"/>
  <c r="I6" i="12"/>
  <c r="I7" i="12"/>
  <c r="P12" i="15"/>
  <c r="G13" i="9" s="1"/>
  <c r="P15" i="15"/>
  <c r="G16" i="9" s="1"/>
  <c r="P8" i="15"/>
  <c r="G9" i="9" s="1"/>
  <c r="E138" i="2"/>
  <c r="G138" i="2"/>
  <c r="L112" i="8"/>
  <c r="H16" i="10"/>
  <c r="H5" i="10"/>
  <c r="H4" i="10"/>
  <c r="H9" i="10"/>
  <c r="H10" i="10"/>
  <c r="H11" i="10"/>
  <c r="H12" i="10"/>
  <c r="H14" i="10"/>
  <c r="H6" i="10"/>
  <c r="H7" i="10"/>
  <c r="H8" i="10"/>
  <c r="H13" i="10"/>
  <c r="H15" i="10"/>
  <c r="H7" i="12"/>
  <c r="H8" i="12"/>
  <c r="H10" i="12"/>
  <c r="H11" i="12"/>
  <c r="H13" i="12"/>
  <c r="H14" i="12"/>
  <c r="H16" i="12"/>
  <c r="H4" i="12"/>
  <c r="H9" i="12"/>
  <c r="H12" i="12"/>
  <c r="H15" i="12"/>
  <c r="H5" i="12"/>
  <c r="H6" i="12"/>
  <c r="H10" i="13"/>
  <c r="H11" i="13"/>
  <c r="H13" i="13"/>
  <c r="H16" i="13"/>
  <c r="H5" i="13"/>
  <c r="H4" i="13"/>
  <c r="H6" i="13"/>
  <c r="H7" i="13"/>
  <c r="H8" i="13"/>
  <c r="H12" i="13"/>
  <c r="H14" i="13"/>
  <c r="H15" i="13"/>
  <c r="H9" i="13"/>
  <c r="H6" i="3"/>
  <c r="H4" i="3"/>
  <c r="H10" i="3"/>
  <c r="H11" i="3"/>
  <c r="H12" i="3"/>
  <c r="H14" i="3"/>
  <c r="H16" i="3"/>
  <c r="H7" i="3"/>
  <c r="H8" i="3"/>
  <c r="H9" i="3"/>
  <c r="H13" i="3"/>
  <c r="H15" i="3"/>
  <c r="H5" i="3"/>
  <c r="G6" i="1"/>
  <c r="G18" i="1" s="1"/>
  <c r="F101" i="2"/>
  <c r="C112" i="8"/>
  <c r="C18" i="15"/>
  <c r="G88" i="2"/>
  <c r="C110" i="2" s="1"/>
  <c r="G92" i="2"/>
  <c r="D101" i="2"/>
  <c r="C94" i="8"/>
  <c r="K94" i="8"/>
  <c r="D19" i="14"/>
  <c r="D20" i="14" s="1"/>
  <c r="D21" i="14" s="1"/>
  <c r="P4" i="13" l="1"/>
  <c r="P16" i="13"/>
  <c r="C162" i="2"/>
  <c r="P18" i="15"/>
  <c r="G5" i="9"/>
  <c r="G19" i="9" s="1"/>
  <c r="C113" i="2"/>
  <c r="E110" i="2"/>
  <c r="G110" i="2"/>
  <c r="C131" i="2" s="1"/>
  <c r="D11" i="14"/>
  <c r="M11" i="14" s="1"/>
  <c r="E11" i="5" s="1"/>
  <c r="D12" i="14"/>
  <c r="M12" i="14" s="1"/>
  <c r="E12" i="5" s="1"/>
  <c r="D13" i="14"/>
  <c r="M13" i="14" s="1"/>
  <c r="E13" i="5" s="1"/>
  <c r="D14" i="14"/>
  <c r="M14" i="14" s="1"/>
  <c r="E14" i="5" s="1"/>
  <c r="D15" i="14"/>
  <c r="M15" i="14" s="1"/>
  <c r="E15" i="5" s="1"/>
  <c r="D16" i="14"/>
  <c r="M16" i="14" s="1"/>
  <c r="E16" i="5" s="1"/>
  <c r="D5" i="14"/>
  <c r="M5" i="14" s="1"/>
  <c r="E5" i="5" s="1"/>
  <c r="D6" i="14"/>
  <c r="M6" i="14" s="1"/>
  <c r="E6" i="5" s="1"/>
  <c r="D7" i="14"/>
  <c r="M7" i="14" s="1"/>
  <c r="E7" i="5" s="1"/>
  <c r="D8" i="14"/>
  <c r="M8" i="14" s="1"/>
  <c r="E8" i="5" s="1"/>
  <c r="D9" i="14"/>
  <c r="M9" i="14" s="1"/>
  <c r="E9" i="5" s="1"/>
  <c r="D10" i="14"/>
  <c r="M10" i="14" s="1"/>
  <c r="E10" i="5" s="1"/>
  <c r="D4" i="14"/>
  <c r="M4" i="14" s="1"/>
  <c r="E4" i="5" s="1"/>
  <c r="G162" i="2" l="1"/>
  <c r="C188" i="2" s="1"/>
  <c r="E162" i="2"/>
  <c r="G131" i="2"/>
  <c r="E131" i="2"/>
  <c r="E113" i="2"/>
  <c r="G113" i="2"/>
  <c r="C135" i="2" s="1"/>
  <c r="M18" i="14"/>
  <c r="C20" i="7" s="1"/>
  <c r="E18" i="5"/>
  <c r="G188" i="2" l="1"/>
  <c r="G11" i="5" s="1"/>
  <c r="E188" i="2"/>
  <c r="C154" i="2"/>
  <c r="G135" i="2"/>
  <c r="E135" i="2"/>
  <c r="N18" i="13"/>
  <c r="M18" i="13"/>
  <c r="L18" i="13"/>
  <c r="K18" i="13"/>
  <c r="J18" i="13"/>
  <c r="I18" i="13"/>
  <c r="H18" i="13"/>
  <c r="G18" i="13"/>
  <c r="E18" i="13"/>
  <c r="D18" i="13"/>
  <c r="C18" i="13"/>
  <c r="G16" i="13"/>
  <c r="F17" i="9" s="1"/>
  <c r="G15" i="13"/>
  <c r="P15" i="13" s="1"/>
  <c r="F16" i="9" s="1"/>
  <c r="G14" i="13"/>
  <c r="P14" i="13" s="1"/>
  <c r="F15" i="9" s="1"/>
  <c r="G13" i="13"/>
  <c r="P13" i="13" s="1"/>
  <c r="F14" i="9" s="1"/>
  <c r="G12" i="13"/>
  <c r="P12" i="13" s="1"/>
  <c r="F13" i="9" s="1"/>
  <c r="G11" i="13"/>
  <c r="P11" i="13" s="1"/>
  <c r="F12" i="9" s="1"/>
  <c r="G10" i="13"/>
  <c r="P10" i="13" s="1"/>
  <c r="F11" i="9" s="1"/>
  <c r="G9" i="13"/>
  <c r="P9" i="13" s="1"/>
  <c r="F10" i="9" s="1"/>
  <c r="G8" i="13"/>
  <c r="P8" i="13" s="1"/>
  <c r="F9" i="9" s="1"/>
  <c r="G7" i="13"/>
  <c r="P7" i="13" s="1"/>
  <c r="F8" i="9" s="1"/>
  <c r="G6" i="13"/>
  <c r="P6" i="13" s="1"/>
  <c r="F7" i="9" s="1"/>
  <c r="G5" i="13"/>
  <c r="P5" i="13" s="1"/>
  <c r="F6" i="9" s="1"/>
  <c r="F75" i="8"/>
  <c r="G21" i="12" s="1"/>
  <c r="G22" i="12" s="1"/>
  <c r="G66" i="2"/>
  <c r="C87" i="2" s="1"/>
  <c r="G75" i="2"/>
  <c r="C96" i="2" s="1"/>
  <c r="F80" i="2"/>
  <c r="G77" i="2"/>
  <c r="C98" i="2" s="1"/>
  <c r="D80" i="2"/>
  <c r="F5" i="1"/>
  <c r="F6" i="1"/>
  <c r="F7" i="1"/>
  <c r="F8" i="1"/>
  <c r="F9" i="1"/>
  <c r="F10" i="1"/>
  <c r="F11" i="1"/>
  <c r="F12" i="1"/>
  <c r="F13" i="1"/>
  <c r="F14" i="1"/>
  <c r="F15" i="1"/>
  <c r="F16" i="1"/>
  <c r="F4" i="1"/>
  <c r="J75" i="8"/>
  <c r="I75" i="8"/>
  <c r="E75" i="8"/>
  <c r="G23" i="10" s="1"/>
  <c r="G24" i="10" s="1"/>
  <c r="D75" i="8"/>
  <c r="G26" i="3" s="1"/>
  <c r="G27" i="3" s="1"/>
  <c r="C75" i="8"/>
  <c r="K73" i="8"/>
  <c r="K72" i="8"/>
  <c r="K71" i="8"/>
  <c r="K70" i="8"/>
  <c r="K69" i="8"/>
  <c r="K68" i="8"/>
  <c r="K67" i="8"/>
  <c r="K66" i="8"/>
  <c r="K65" i="8"/>
  <c r="K64" i="8"/>
  <c r="K63" i="8"/>
  <c r="K62" i="8"/>
  <c r="K61" i="8"/>
  <c r="E18" i="6"/>
  <c r="C159" i="2" l="1"/>
  <c r="G154" i="2"/>
  <c r="C180" i="2" s="1"/>
  <c r="E154" i="2"/>
  <c r="E98" i="2"/>
  <c r="G98" i="2"/>
  <c r="C120" i="2" s="1"/>
  <c r="G96" i="2"/>
  <c r="C118" i="2" s="1"/>
  <c r="E96" i="2"/>
  <c r="G87" i="2"/>
  <c r="C109" i="2" s="1"/>
  <c r="E87" i="2"/>
  <c r="G10" i="10"/>
  <c r="G11" i="10"/>
  <c r="G13" i="10"/>
  <c r="G14" i="10"/>
  <c r="G15" i="10"/>
  <c r="G16" i="10"/>
  <c r="G5" i="10"/>
  <c r="G6" i="10"/>
  <c r="G7" i="10"/>
  <c r="G8" i="10"/>
  <c r="G9" i="10"/>
  <c r="G12" i="10"/>
  <c r="G9" i="3"/>
  <c r="G10" i="3"/>
  <c r="G11" i="3"/>
  <c r="G12" i="3"/>
  <c r="G13" i="3"/>
  <c r="G14" i="3"/>
  <c r="G15" i="3"/>
  <c r="G16" i="3"/>
  <c r="G5" i="3"/>
  <c r="G4" i="3"/>
  <c r="G6" i="3"/>
  <c r="G7" i="3"/>
  <c r="G8" i="3"/>
  <c r="F18" i="1"/>
  <c r="G13" i="12"/>
  <c r="G14" i="12"/>
  <c r="G15" i="12"/>
  <c r="G16" i="12"/>
  <c r="P16" i="12" s="1"/>
  <c r="G5" i="12"/>
  <c r="P5" i="12" s="1"/>
  <c r="E6" i="9" s="1"/>
  <c r="G4" i="12"/>
  <c r="P4" i="12" s="1"/>
  <c r="G6" i="12"/>
  <c r="G7" i="12"/>
  <c r="G8" i="12"/>
  <c r="G9" i="12"/>
  <c r="G10" i="12"/>
  <c r="G11" i="12"/>
  <c r="G12" i="12"/>
  <c r="F18" i="13"/>
  <c r="K75" i="8"/>
  <c r="F18" i="12"/>
  <c r="N18" i="12"/>
  <c r="M18" i="12"/>
  <c r="L18" i="12"/>
  <c r="K18" i="12"/>
  <c r="J18" i="12"/>
  <c r="I18" i="12"/>
  <c r="H18" i="12"/>
  <c r="D18" i="12"/>
  <c r="C18" i="12"/>
  <c r="F16" i="12"/>
  <c r="F15" i="12"/>
  <c r="F14" i="12"/>
  <c r="F13" i="12"/>
  <c r="F12" i="12"/>
  <c r="F11" i="12"/>
  <c r="F10" i="12"/>
  <c r="F9" i="12"/>
  <c r="F8" i="12"/>
  <c r="F7" i="12"/>
  <c r="P7" i="12" s="1"/>
  <c r="E8" i="9" s="1"/>
  <c r="F6" i="12"/>
  <c r="P6" i="12" s="1"/>
  <c r="E7" i="9" s="1"/>
  <c r="F5" i="12"/>
  <c r="F4" i="12"/>
  <c r="D48" i="2"/>
  <c r="G48" i="2" s="1"/>
  <c r="C69" i="2" s="1"/>
  <c r="G69" i="2" s="1"/>
  <c r="C90" i="2" s="1"/>
  <c r="D53" i="2"/>
  <c r="E53" i="2" s="1"/>
  <c r="D56" i="8"/>
  <c r="E56" i="8"/>
  <c r="F21" i="10" s="1"/>
  <c r="F22" i="10" s="1"/>
  <c r="E18" i="1"/>
  <c r="F59" i="2"/>
  <c r="G45" i="2"/>
  <c r="G44" i="2"/>
  <c r="C65" i="2" s="1"/>
  <c r="E5" i="10"/>
  <c r="E6" i="10"/>
  <c r="E7" i="10"/>
  <c r="E8" i="10"/>
  <c r="E9" i="10"/>
  <c r="E10" i="10"/>
  <c r="E11" i="10"/>
  <c r="E12" i="10"/>
  <c r="E13" i="10"/>
  <c r="E14" i="10"/>
  <c r="E15" i="10"/>
  <c r="E16" i="10"/>
  <c r="E4" i="10"/>
  <c r="N18" i="10"/>
  <c r="M18" i="10"/>
  <c r="L18" i="10"/>
  <c r="J18" i="10"/>
  <c r="I18" i="10"/>
  <c r="H18" i="10"/>
  <c r="C18" i="10"/>
  <c r="G4" i="10" s="1"/>
  <c r="H18" i="3"/>
  <c r="I18" i="3"/>
  <c r="J18" i="3"/>
  <c r="K18" i="3"/>
  <c r="L18" i="3"/>
  <c r="M18" i="3"/>
  <c r="N18" i="3"/>
  <c r="D29" i="2"/>
  <c r="E29" i="2" s="1"/>
  <c r="D30" i="2"/>
  <c r="E30" i="2" s="1"/>
  <c r="D31" i="2"/>
  <c r="G31" i="2" s="1"/>
  <c r="D28" i="2"/>
  <c r="G28" i="2" s="1"/>
  <c r="E32" i="2"/>
  <c r="E33" i="2"/>
  <c r="E34" i="2"/>
  <c r="E35" i="2"/>
  <c r="G36" i="2"/>
  <c r="G4" i="2"/>
  <c r="G5" i="2"/>
  <c r="G8" i="2"/>
  <c r="G9" i="2"/>
  <c r="G10" i="2"/>
  <c r="G11" i="2"/>
  <c r="G12" i="2"/>
  <c r="G13" i="2"/>
  <c r="G14" i="2"/>
  <c r="G15" i="2"/>
  <c r="F38" i="2"/>
  <c r="C38" i="2"/>
  <c r="G35" i="2"/>
  <c r="C56" i="2" s="1"/>
  <c r="G56" i="2" s="1"/>
  <c r="G34" i="2"/>
  <c r="C55" i="2" s="1"/>
  <c r="G55" i="2" s="1"/>
  <c r="C76" i="2" s="1"/>
  <c r="G33" i="2"/>
  <c r="C54" i="2" s="1"/>
  <c r="G54" i="2" s="1"/>
  <c r="G32" i="2"/>
  <c r="G27" i="2"/>
  <c r="C47" i="2" s="1"/>
  <c r="G26" i="2"/>
  <c r="G25" i="2"/>
  <c r="G24" i="2"/>
  <c r="I56" i="8"/>
  <c r="F56" i="8"/>
  <c r="C56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F37" i="8"/>
  <c r="E37" i="8"/>
  <c r="D37" i="8"/>
  <c r="E22" i="3" s="1"/>
  <c r="E23" i="3" s="1"/>
  <c r="E4" i="3" s="1"/>
  <c r="C37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E18" i="8"/>
  <c r="F18" i="8"/>
  <c r="D18" i="8"/>
  <c r="I16" i="8"/>
  <c r="I15" i="8"/>
  <c r="I14" i="8"/>
  <c r="I13" i="8"/>
  <c r="I12" i="8"/>
  <c r="I11" i="8"/>
  <c r="I10" i="8"/>
  <c r="I9" i="8"/>
  <c r="I8" i="8"/>
  <c r="I7" i="8"/>
  <c r="I6" i="8"/>
  <c r="I5" i="8"/>
  <c r="C18" i="8"/>
  <c r="D18" i="6"/>
  <c r="F18" i="6"/>
  <c r="H18" i="6"/>
  <c r="I18" i="6"/>
  <c r="J18" i="6"/>
  <c r="K18" i="6"/>
  <c r="L18" i="6"/>
  <c r="M18" i="6"/>
  <c r="N18" i="6"/>
  <c r="G180" i="2" l="1"/>
  <c r="E180" i="2"/>
  <c r="G6" i="5"/>
  <c r="E159" i="2"/>
  <c r="G159" i="2"/>
  <c r="C185" i="2" s="1"/>
  <c r="E65" i="2"/>
  <c r="G65" i="2"/>
  <c r="C86" i="2" s="1"/>
  <c r="G76" i="2"/>
  <c r="C97" i="2" s="1"/>
  <c r="E76" i="2"/>
  <c r="E109" i="2"/>
  <c r="G109" i="2"/>
  <c r="E17" i="9"/>
  <c r="P10" i="12"/>
  <c r="E11" i="9" s="1"/>
  <c r="G18" i="10"/>
  <c r="P11" i="12"/>
  <c r="E12" i="9" s="1"/>
  <c r="G18" i="12"/>
  <c r="P14" i="12"/>
  <c r="E15" i="9" s="1"/>
  <c r="G90" i="2"/>
  <c r="E90" i="2"/>
  <c r="P15" i="12"/>
  <c r="E16" i="9" s="1"/>
  <c r="O18" i="6"/>
  <c r="P18" i="13"/>
  <c r="F5" i="9"/>
  <c r="F19" i="9" s="1"/>
  <c r="P8" i="12"/>
  <c r="E9" i="9" s="1"/>
  <c r="G18" i="3"/>
  <c r="P9" i="12"/>
  <c r="E10" i="9" s="1"/>
  <c r="P12" i="12"/>
  <c r="E13" i="9" s="1"/>
  <c r="P13" i="12"/>
  <c r="E14" i="9" s="1"/>
  <c r="E5" i="9"/>
  <c r="E69" i="2"/>
  <c r="I69" i="2" s="1"/>
  <c r="F10" i="10"/>
  <c r="P10" i="10" s="1"/>
  <c r="D11" i="9" s="1"/>
  <c r="F16" i="10"/>
  <c r="F5" i="10"/>
  <c r="P5" i="10" s="1"/>
  <c r="D6" i="9" s="1"/>
  <c r="F7" i="10"/>
  <c r="P7" i="10" s="1"/>
  <c r="D8" i="9" s="1"/>
  <c r="F8" i="10"/>
  <c r="P8" i="10" s="1"/>
  <c r="D9" i="9" s="1"/>
  <c r="F11" i="10"/>
  <c r="P11" i="10" s="1"/>
  <c r="D12" i="9" s="1"/>
  <c r="F4" i="10"/>
  <c r="P4" i="10" s="1"/>
  <c r="F6" i="10"/>
  <c r="P6" i="10" s="1"/>
  <c r="D7" i="9" s="1"/>
  <c r="F9" i="10"/>
  <c r="P9" i="10" s="1"/>
  <c r="D10" i="9" s="1"/>
  <c r="F12" i="10"/>
  <c r="P12" i="10" s="1"/>
  <c r="D13" i="9" s="1"/>
  <c r="F13" i="10"/>
  <c r="P13" i="10" s="1"/>
  <c r="D14" i="9" s="1"/>
  <c r="F14" i="10"/>
  <c r="P14" i="10" s="1"/>
  <c r="D15" i="9" s="1"/>
  <c r="F15" i="10"/>
  <c r="P15" i="10" s="1"/>
  <c r="D16" i="9" s="1"/>
  <c r="F24" i="3"/>
  <c r="F25" i="3" s="1"/>
  <c r="F4" i="3" s="1"/>
  <c r="P4" i="3" s="1"/>
  <c r="E48" i="2"/>
  <c r="I48" i="2" s="1"/>
  <c r="E18" i="12"/>
  <c r="C46" i="2"/>
  <c r="G46" i="2" s="1"/>
  <c r="C52" i="2"/>
  <c r="G52" i="2" s="1"/>
  <c r="G47" i="2"/>
  <c r="C68" i="2" s="1"/>
  <c r="D38" i="2"/>
  <c r="G53" i="2"/>
  <c r="C49" i="2"/>
  <c r="G49" i="2" s="1"/>
  <c r="C57" i="2"/>
  <c r="E54" i="2"/>
  <c r="E55" i="2"/>
  <c r="E56" i="2"/>
  <c r="E47" i="2"/>
  <c r="G29" i="2"/>
  <c r="E31" i="2"/>
  <c r="I31" i="2" s="1"/>
  <c r="G30" i="2"/>
  <c r="E28" i="2"/>
  <c r="I28" i="2" s="1"/>
  <c r="E26" i="2"/>
  <c r="E27" i="2"/>
  <c r="E36" i="2"/>
  <c r="I37" i="8"/>
  <c r="J56" i="8"/>
  <c r="I4" i="8"/>
  <c r="I18" i="8" s="1"/>
  <c r="F15" i="3" l="1"/>
  <c r="G185" i="2"/>
  <c r="G9" i="5" s="1"/>
  <c r="E185" i="2"/>
  <c r="E130" i="2"/>
  <c r="G130" i="2"/>
  <c r="E86" i="2"/>
  <c r="G86" i="2"/>
  <c r="C108" i="2" s="1"/>
  <c r="E49" i="2"/>
  <c r="G97" i="2"/>
  <c r="E97" i="2"/>
  <c r="E52" i="2"/>
  <c r="E120" i="2"/>
  <c r="G120" i="2"/>
  <c r="C143" i="2" s="1"/>
  <c r="E118" i="2"/>
  <c r="G118" i="2"/>
  <c r="C140" i="2" s="1"/>
  <c r="P16" i="10"/>
  <c r="D17" i="9" s="1"/>
  <c r="E19" i="9"/>
  <c r="F14" i="3"/>
  <c r="P18" i="12"/>
  <c r="F6" i="3"/>
  <c r="F7" i="3"/>
  <c r="F10" i="3"/>
  <c r="F11" i="3"/>
  <c r="F12" i="3"/>
  <c r="F9" i="3"/>
  <c r="F13" i="3"/>
  <c r="I53" i="2"/>
  <c r="C74" i="2"/>
  <c r="C73" i="2"/>
  <c r="C70" i="2"/>
  <c r="G68" i="2"/>
  <c r="C89" i="2" s="1"/>
  <c r="E68" i="2"/>
  <c r="C67" i="2"/>
  <c r="F16" i="3"/>
  <c r="F18" i="10"/>
  <c r="F5" i="3"/>
  <c r="F8" i="3"/>
  <c r="C51" i="2"/>
  <c r="E46" i="2"/>
  <c r="C50" i="2"/>
  <c r="G38" i="2"/>
  <c r="G57" i="2"/>
  <c r="C78" i="2" s="1"/>
  <c r="E57" i="2"/>
  <c r="E38" i="2"/>
  <c r="E18" i="10"/>
  <c r="D18" i="10"/>
  <c r="D18" i="1"/>
  <c r="O16" i="1"/>
  <c r="C16" i="5" s="1"/>
  <c r="O15" i="1"/>
  <c r="C15" i="5" s="1"/>
  <c r="O14" i="1"/>
  <c r="C14" i="5" s="1"/>
  <c r="O13" i="1"/>
  <c r="C13" i="5" s="1"/>
  <c r="O12" i="1"/>
  <c r="C12" i="5" s="1"/>
  <c r="O11" i="1"/>
  <c r="C11" i="5" s="1"/>
  <c r="O10" i="1"/>
  <c r="C10" i="5" s="1"/>
  <c r="O9" i="1"/>
  <c r="C9" i="5" s="1"/>
  <c r="O8" i="1"/>
  <c r="C8" i="5" s="1"/>
  <c r="O7" i="1"/>
  <c r="C7" i="5" s="1"/>
  <c r="O6" i="1"/>
  <c r="C6" i="5" s="1"/>
  <c r="O5" i="1"/>
  <c r="C5" i="5" s="1"/>
  <c r="C4" i="1"/>
  <c r="O4" i="1" s="1"/>
  <c r="C18" i="6"/>
  <c r="F18" i="2"/>
  <c r="C8" i="7" s="1"/>
  <c r="C26" i="7" s="1"/>
  <c r="D16" i="2"/>
  <c r="E16" i="2" s="1"/>
  <c r="D7" i="2"/>
  <c r="E7" i="2" s="1"/>
  <c r="D6" i="2"/>
  <c r="E6" i="2" s="1"/>
  <c r="D5" i="3"/>
  <c r="D6" i="3"/>
  <c r="D7" i="3"/>
  <c r="D8" i="3"/>
  <c r="D9" i="3"/>
  <c r="D10" i="3"/>
  <c r="D11" i="3"/>
  <c r="D12" i="3"/>
  <c r="D13" i="3"/>
  <c r="D14" i="3"/>
  <c r="D15" i="3"/>
  <c r="D16" i="3"/>
  <c r="C4" i="3"/>
  <c r="C18" i="2"/>
  <c r="O18" i="1" l="1"/>
  <c r="C18" i="7"/>
  <c r="C153" i="2"/>
  <c r="E140" i="2"/>
  <c r="G140" i="2"/>
  <c r="C164" i="2" s="1"/>
  <c r="E143" i="2"/>
  <c r="G143" i="2"/>
  <c r="C59" i="2"/>
  <c r="C18" i="1"/>
  <c r="C119" i="2"/>
  <c r="E108" i="2"/>
  <c r="G108" i="2"/>
  <c r="C129" i="2" s="1"/>
  <c r="E78" i="2"/>
  <c r="G78" i="2"/>
  <c r="C99" i="2" s="1"/>
  <c r="F18" i="3"/>
  <c r="G89" i="2"/>
  <c r="E89" i="2"/>
  <c r="G74" i="2"/>
  <c r="E74" i="2"/>
  <c r="G73" i="2"/>
  <c r="C94" i="2" s="1"/>
  <c r="E73" i="2"/>
  <c r="G70" i="2"/>
  <c r="C91" i="2" s="1"/>
  <c r="E70" i="2"/>
  <c r="G67" i="2"/>
  <c r="E67" i="2"/>
  <c r="P18" i="10"/>
  <c r="D5" i="9"/>
  <c r="C13" i="7"/>
  <c r="G51" i="2"/>
  <c r="E51" i="2"/>
  <c r="E50" i="2"/>
  <c r="E59" i="2" s="1"/>
  <c r="C18" i="3"/>
  <c r="D4" i="3"/>
  <c r="E18" i="2"/>
  <c r="I6" i="2"/>
  <c r="G6" i="2"/>
  <c r="G7" i="2"/>
  <c r="I7" i="2"/>
  <c r="I16" i="2"/>
  <c r="G16" i="2"/>
  <c r="C4" i="5"/>
  <c r="D18" i="2"/>
  <c r="C168" i="2" l="1"/>
  <c r="E164" i="2"/>
  <c r="G164" i="2"/>
  <c r="C190" i="2" s="1"/>
  <c r="E153" i="2"/>
  <c r="G153" i="2"/>
  <c r="C178" i="2" s="1"/>
  <c r="D19" i="9"/>
  <c r="G129" i="2"/>
  <c r="E129" i="2"/>
  <c r="G99" i="2"/>
  <c r="E99" i="2"/>
  <c r="G119" i="2"/>
  <c r="E119" i="2"/>
  <c r="D111" i="2"/>
  <c r="I74" i="2"/>
  <c r="C95" i="2"/>
  <c r="E91" i="2"/>
  <c r="G91" i="2"/>
  <c r="C112" i="2" s="1"/>
  <c r="G94" i="2"/>
  <c r="C115" i="2" s="1"/>
  <c r="E94" i="2"/>
  <c r="C18" i="5"/>
  <c r="C72" i="2"/>
  <c r="G50" i="2"/>
  <c r="D59" i="2"/>
  <c r="C5" i="9"/>
  <c r="O5" i="9" s="1"/>
  <c r="E9" i="3"/>
  <c r="E10" i="3"/>
  <c r="E8" i="3"/>
  <c r="E11" i="3"/>
  <c r="E12" i="3"/>
  <c r="E13" i="3"/>
  <c r="E14" i="3"/>
  <c r="E15" i="3"/>
  <c r="E16" i="3"/>
  <c r="P16" i="3" s="1"/>
  <c r="E5" i="3"/>
  <c r="E6" i="3"/>
  <c r="E7" i="3"/>
  <c r="D18" i="3"/>
  <c r="G18" i="2"/>
  <c r="G178" i="2" l="1"/>
  <c r="E178" i="2"/>
  <c r="G190" i="2"/>
  <c r="G13" i="5" s="1"/>
  <c r="G18" i="5" s="1"/>
  <c r="E190" i="2"/>
  <c r="C152" i="2"/>
  <c r="E168" i="2"/>
  <c r="G168" i="2"/>
  <c r="C194" i="2" s="1"/>
  <c r="G59" i="2"/>
  <c r="C71" i="2"/>
  <c r="C121" i="2"/>
  <c r="E111" i="2"/>
  <c r="G111" i="2"/>
  <c r="C132" i="2" s="1"/>
  <c r="G95" i="2"/>
  <c r="C117" i="2" s="1"/>
  <c r="E95" i="2"/>
  <c r="G72" i="2"/>
  <c r="E72" i="2"/>
  <c r="E18" i="3"/>
  <c r="P9" i="3"/>
  <c r="C10" i="9" s="1"/>
  <c r="C17" i="9"/>
  <c r="P15" i="3"/>
  <c r="C16" i="9" s="1"/>
  <c r="P14" i="3"/>
  <c r="C15" i="9" s="1"/>
  <c r="P13" i="3"/>
  <c r="C14" i="9" s="1"/>
  <c r="P12" i="3"/>
  <c r="C13" i="9" s="1"/>
  <c r="P11" i="3"/>
  <c r="C12" i="9" s="1"/>
  <c r="P8" i="3"/>
  <c r="C9" i="9" s="1"/>
  <c r="P10" i="3"/>
  <c r="C11" i="9" s="1"/>
  <c r="P7" i="3"/>
  <c r="C8" i="9" s="1"/>
  <c r="P6" i="3"/>
  <c r="C7" i="9" s="1"/>
  <c r="D4" i="5"/>
  <c r="P5" i="3"/>
  <c r="O15" i="9" l="1"/>
  <c r="D14" i="5" s="1"/>
  <c r="F14" i="5" s="1"/>
  <c r="H14" i="5" s="1"/>
  <c r="O13" i="9"/>
  <c r="D12" i="5" s="1"/>
  <c r="F12" i="5" s="1"/>
  <c r="O16" i="9"/>
  <c r="D15" i="5" s="1"/>
  <c r="F15" i="5" s="1"/>
  <c r="C6" i="9"/>
  <c r="O6" i="9" s="1"/>
  <c r="P18" i="3"/>
  <c r="O7" i="9"/>
  <c r="D6" i="5" s="1"/>
  <c r="F6" i="5" s="1"/>
  <c r="H6" i="5" s="1"/>
  <c r="O9" i="9"/>
  <c r="D8" i="5" s="1"/>
  <c r="F8" i="5" s="1"/>
  <c r="O14" i="9"/>
  <c r="D13" i="5" s="1"/>
  <c r="F13" i="5" s="1"/>
  <c r="H13" i="5" s="1"/>
  <c r="O17" i="9"/>
  <c r="D16" i="5" s="1"/>
  <c r="F16" i="5" s="1"/>
  <c r="H16" i="5" s="1"/>
  <c r="O10" i="9"/>
  <c r="D9" i="5" s="1"/>
  <c r="F9" i="5" s="1"/>
  <c r="H9" i="5" s="1"/>
  <c r="O8" i="9"/>
  <c r="D7" i="5" s="1"/>
  <c r="F7" i="5" s="1"/>
  <c r="O11" i="9"/>
  <c r="D10" i="5" s="1"/>
  <c r="F10" i="5" s="1"/>
  <c r="O12" i="9"/>
  <c r="D11" i="5" s="1"/>
  <c r="F11" i="5" s="1"/>
  <c r="E194" i="2"/>
  <c r="G194" i="2"/>
  <c r="G15" i="5" s="1"/>
  <c r="G152" i="2"/>
  <c r="E152" i="2"/>
  <c r="G132" i="2"/>
  <c r="E132" i="2"/>
  <c r="C93" i="2"/>
  <c r="E121" i="2"/>
  <c r="G121" i="2"/>
  <c r="G71" i="2"/>
  <c r="G80" i="2" s="1"/>
  <c r="E71" i="2"/>
  <c r="C80" i="2"/>
  <c r="E80" i="2"/>
  <c r="E112" i="2"/>
  <c r="G112" i="2"/>
  <c r="C134" i="2" s="1"/>
  <c r="E117" i="2"/>
  <c r="G117" i="2"/>
  <c r="C139" i="2" s="1"/>
  <c r="E115" i="2"/>
  <c r="G115" i="2"/>
  <c r="F4" i="5"/>
  <c r="C19" i="9"/>
  <c r="H15" i="5" l="1"/>
  <c r="O19" i="9"/>
  <c r="C19" i="7" s="1"/>
  <c r="C21" i="7" s="1"/>
  <c r="C156" i="2"/>
  <c r="G156" i="2" s="1"/>
  <c r="C182" i="2" s="1"/>
  <c r="G182" i="2" s="1"/>
  <c r="E134" i="2"/>
  <c r="G134" i="2"/>
  <c r="H11" i="5"/>
  <c r="E139" i="2"/>
  <c r="G139" i="2"/>
  <c r="G93" i="2"/>
  <c r="E93" i="2"/>
  <c r="E101" i="2" s="1"/>
  <c r="C101" i="2"/>
  <c r="H4" i="5"/>
  <c r="D5" i="5"/>
  <c r="D18" i="5" s="1"/>
  <c r="E182" i="2" l="1"/>
  <c r="C158" i="2"/>
  <c r="C163" i="2"/>
  <c r="E156" i="2"/>
  <c r="C114" i="2"/>
  <c r="G101" i="2"/>
  <c r="F5" i="5"/>
  <c r="F18" i="5" s="1"/>
  <c r="G7" i="5" l="1"/>
  <c r="G163" i="2"/>
  <c r="C189" i="2" s="1"/>
  <c r="E163" i="2"/>
  <c r="G158" i="2"/>
  <c r="C184" i="2" s="1"/>
  <c r="E158" i="2"/>
  <c r="D114" i="2"/>
  <c r="E114" i="2" s="1"/>
  <c r="C123" i="2"/>
  <c r="H5" i="5"/>
  <c r="G184" i="2" l="1"/>
  <c r="E184" i="2"/>
  <c r="C197" i="2"/>
  <c r="G189" i="2"/>
  <c r="G12" i="5" s="1"/>
  <c r="H12" i="5" s="1"/>
  <c r="E189" i="2"/>
  <c r="H7" i="5"/>
  <c r="E123" i="2"/>
  <c r="G114" i="2"/>
  <c r="D123" i="2"/>
  <c r="E197" i="2" l="1"/>
  <c r="G8" i="5"/>
  <c r="G197" i="2"/>
  <c r="C24" i="7" s="1"/>
  <c r="G123" i="2"/>
  <c r="C136" i="2"/>
  <c r="H8" i="5" l="1"/>
  <c r="E136" i="2"/>
  <c r="E146" i="2" s="1"/>
  <c r="G136" i="2"/>
  <c r="C160" i="2" s="1"/>
  <c r="C146" i="2"/>
  <c r="G160" i="2" l="1"/>
  <c r="G171" i="2" s="1"/>
  <c r="E160" i="2"/>
  <c r="E171" i="2" s="1"/>
  <c r="C171" i="2"/>
  <c r="G146" i="2"/>
  <c r="H10" i="5" l="1"/>
</calcChain>
</file>

<file path=xl/sharedStrings.xml><?xml version="1.0" encoding="utf-8"?>
<sst xmlns="http://schemas.openxmlformats.org/spreadsheetml/2006/main" count="872" uniqueCount="121">
  <si>
    <t>Members Name</t>
  </si>
  <si>
    <t>Number</t>
  </si>
  <si>
    <t>Aibaki Tembo</t>
  </si>
  <si>
    <t>Brian Chilu</t>
  </si>
  <si>
    <t>Clive Makala</t>
  </si>
  <si>
    <t>David Machungwa</t>
  </si>
  <si>
    <t>Kababa Kangwa</t>
  </si>
  <si>
    <t>Kalenga Kamwendo</t>
  </si>
  <si>
    <t>Kunda Maliti</t>
  </si>
  <si>
    <t>Chilu Nyendwa</t>
  </si>
  <si>
    <t>Musamba Karabasis</t>
  </si>
  <si>
    <t xml:space="preserve">Tiza Silavwe </t>
  </si>
  <si>
    <t xml:space="preserve">Kote Nikoi </t>
  </si>
  <si>
    <t>Mapenzi Mweetwa</t>
  </si>
  <si>
    <t>Osward Nkhoma</t>
  </si>
  <si>
    <t>Savings</t>
  </si>
  <si>
    <t>Loans</t>
  </si>
  <si>
    <t>Int on loans</t>
  </si>
  <si>
    <t>Total Interest</t>
  </si>
  <si>
    <t>Total</t>
  </si>
  <si>
    <t>Net Position</t>
  </si>
  <si>
    <t>Total Savings plus interest</t>
  </si>
  <si>
    <t xml:space="preserve">Repayment </t>
  </si>
  <si>
    <t>Loan</t>
  </si>
  <si>
    <t>Total Savings</t>
  </si>
  <si>
    <t>Total Interest earned</t>
  </si>
  <si>
    <t>Note</t>
  </si>
  <si>
    <t>Social Shreholders Loan</t>
  </si>
  <si>
    <t>05.02.2025</t>
  </si>
  <si>
    <t>05.05.2025</t>
  </si>
  <si>
    <t>05.06.2025</t>
  </si>
  <si>
    <t>Min payment</t>
  </si>
  <si>
    <t>Brian Chirwa</t>
  </si>
  <si>
    <t>Social Shreholders Savings</t>
  </si>
  <si>
    <t xml:space="preserve">Social Shreholders Interest </t>
  </si>
  <si>
    <t xml:space="preserve">Interest </t>
  </si>
  <si>
    <t>Social Shreholders Summary</t>
  </si>
  <si>
    <t>TOTAL LOANS</t>
  </si>
  <si>
    <t>Loan Repayments</t>
  </si>
  <si>
    <t>Cash Available for Loans</t>
  </si>
  <si>
    <t>Birthdays</t>
  </si>
  <si>
    <t>Admin Fee</t>
  </si>
  <si>
    <t>Total Cash collected</t>
  </si>
  <si>
    <t>Total Outstanding Loans</t>
  </si>
  <si>
    <t>K</t>
  </si>
  <si>
    <t>Declarations</t>
  </si>
  <si>
    <t xml:space="preserve">Savings </t>
  </si>
  <si>
    <t>Loan Repayment</t>
  </si>
  <si>
    <t>Admin</t>
  </si>
  <si>
    <t>February</t>
  </si>
  <si>
    <t>January</t>
  </si>
  <si>
    <t>March</t>
  </si>
  <si>
    <t>Total Loan</t>
  </si>
  <si>
    <t>05.03.2025</t>
  </si>
  <si>
    <t>05.07.2025</t>
  </si>
  <si>
    <t>February repayments</t>
  </si>
  <si>
    <t>Jan Loan</t>
  </si>
  <si>
    <t>Social Shreholders Loan Disbursements</t>
  </si>
  <si>
    <t>Jan Loan Repayment</t>
  </si>
  <si>
    <t xml:space="preserve">Feb Loan Repayment </t>
  </si>
  <si>
    <t xml:space="preserve">Total Savings </t>
  </si>
  <si>
    <t xml:space="preserve">Total Interest </t>
  </si>
  <si>
    <t>Total Savings and Interest</t>
  </si>
  <si>
    <t>Cash at Bank</t>
  </si>
  <si>
    <t>Social Shreholders</t>
  </si>
  <si>
    <t>Outstanding Loans</t>
  </si>
  <si>
    <t>Interest Earned</t>
  </si>
  <si>
    <t>05.08.2025</t>
  </si>
  <si>
    <t>Clive Makala - Loan 2</t>
  </si>
  <si>
    <t>Jan repaymenrts</t>
  </si>
  <si>
    <t>February repayements</t>
  </si>
  <si>
    <t>paid</t>
  </si>
  <si>
    <t xml:space="preserve">Mar Loan Repayment </t>
  </si>
  <si>
    <t>Penalty</t>
  </si>
  <si>
    <t xml:space="preserve">Penalty </t>
  </si>
  <si>
    <t>05.09.2025</t>
  </si>
  <si>
    <t>March Repayments</t>
  </si>
  <si>
    <t>March repayments</t>
  </si>
  <si>
    <t>Penalties</t>
  </si>
  <si>
    <t xml:space="preserve">April </t>
  </si>
  <si>
    <t>Total penalties</t>
  </si>
  <si>
    <t xml:space="preserve">Total penalties + interest </t>
  </si>
  <si>
    <t xml:space="preserve">Split </t>
  </si>
  <si>
    <t xml:space="preserve">Penalty and Interest </t>
  </si>
  <si>
    <t xml:space="preserve">Apr  Loan Repayment </t>
  </si>
  <si>
    <t>05.10.2025</t>
  </si>
  <si>
    <t>April Repayments</t>
  </si>
  <si>
    <t>April repayments</t>
  </si>
  <si>
    <t>May</t>
  </si>
  <si>
    <t xml:space="preserve">May  Loan Repayment </t>
  </si>
  <si>
    <t>June</t>
  </si>
  <si>
    <t>Kote Nikoi - 2</t>
  </si>
  <si>
    <t>05.11.2025</t>
  </si>
  <si>
    <t>May Repayments</t>
  </si>
  <si>
    <t>May Repayements</t>
  </si>
  <si>
    <t xml:space="preserve">June Loan Repayment </t>
  </si>
  <si>
    <t>Mapenzi Mweetwa - 2</t>
  </si>
  <si>
    <t>June Repayments</t>
  </si>
  <si>
    <t>July</t>
  </si>
  <si>
    <t>Jan Repaymenrts</t>
  </si>
  <si>
    <t>Feb Repayments</t>
  </si>
  <si>
    <t>Mar Repaymenrts</t>
  </si>
  <si>
    <t>Apr Repayments</t>
  </si>
  <si>
    <t xml:space="preserve">June Repaymements </t>
  </si>
  <si>
    <t>July Repayments</t>
  </si>
  <si>
    <t>Panealries</t>
  </si>
  <si>
    <t xml:space="preserve">August </t>
  </si>
  <si>
    <t xml:space="preserve">July Loan Repayment </t>
  </si>
  <si>
    <t>Loans disbursed in august</t>
  </si>
  <si>
    <t>Mapenzi Mweetwa - 3</t>
  </si>
  <si>
    <t>Chilu Nyendwa 2</t>
  </si>
  <si>
    <t xml:space="preserve">September Transaction Summary </t>
  </si>
  <si>
    <t xml:space="preserve">September </t>
  </si>
  <si>
    <t xml:space="preserve"> </t>
  </si>
  <si>
    <t>Brian Chirwa 2</t>
  </si>
  <si>
    <t xml:space="preserve">Aug Loan Repayment </t>
  </si>
  <si>
    <t>Aug Repyaments</t>
  </si>
  <si>
    <t>AUG Repayments</t>
  </si>
  <si>
    <t>August Repayments</t>
  </si>
  <si>
    <t>Aug  Repayments</t>
  </si>
  <si>
    <t>Aug repayment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</si>
</sst>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43" fontId="0" fillId="0" borderId="0" xfId="1" applyFont="1"/>
    <xf numFmtId="17" fontId="0" fillId="0" borderId="0" xfId="0" applyNumberFormat="1"/>
    <xf numFmtId="43" fontId="3" fillId="0" borderId="0" xfId="1" applyFont="1"/>
    <xf numFmtId="43" fontId="0" fillId="0" borderId="0" xfId="0" applyNumberFormat="1"/>
    <xf numFmtId="0" fontId="3" fillId="0" borderId="0" xfId="0" applyFont="1"/>
    <xf numFmtId="43" fontId="3" fillId="0" borderId="0" xfId="0" applyNumberFormat="1" applyFont="1"/>
    <xf numFmtId="43" fontId="3" fillId="0" borderId="1" xfId="1" applyFont="1" applyBorder="1"/>
    <xf numFmtId="43" fontId="3" fillId="0" borderId="3" xfId="1" applyFont="1" applyBorder="1"/>
    <xf numFmtId="0" fontId="0" fillId="0" borderId="2" xfId="0" applyBorder="1"/>
    <xf numFmtId="43" fontId="0" fillId="0" borderId="2" xfId="1" applyFont="1" applyBorder="1"/>
    <xf numFmtId="43" fontId="0" fillId="0" borderId="2" xfId="0" applyNumberFormat="1" applyBorder="1"/>
    <xf numFmtId="17" fontId="3" fillId="0" borderId="2" xfId="0" applyNumberFormat="1" applyFont="1" applyBorder="1"/>
    <xf numFmtId="0" fontId="3" fillId="0" borderId="2" xfId="0" applyFont="1" applyBorder="1"/>
    <xf numFmtId="43" fontId="3" fillId="0" borderId="2" xfId="1" applyFont="1" applyBorder="1"/>
    <xf numFmtId="43" fontId="3" fillId="0" borderId="2" xfId="0" applyNumberFormat="1" applyFont="1" applyBorder="1"/>
    <xf numFmtId="43" fontId="3" fillId="0" borderId="4" xfId="1" applyFont="1" applyBorder="1"/>
    <xf numFmtId="43" fontId="3" fillId="0" borderId="4" xfId="0" applyNumberFormat="1" applyFont="1" applyBorder="1"/>
    <xf numFmtId="0" fontId="3" fillId="2" borderId="2" xfId="0" applyFont="1" applyFill="1" applyBorder="1"/>
    <xf numFmtId="43" fontId="3" fillId="2" borderId="2" xfId="1" applyFont="1" applyFill="1" applyBorder="1"/>
    <xf numFmtId="17" fontId="3" fillId="2" borderId="2" xfId="0" applyNumberFormat="1" applyFont="1" applyFill="1" applyBorder="1"/>
    <xf numFmtId="0" fontId="3" fillId="2" borderId="5" xfId="0" applyFont="1" applyFill="1" applyBorder="1"/>
    <xf numFmtId="0" fontId="0" fillId="2" borderId="0" xfId="0" applyFill="1"/>
    <xf numFmtId="43" fontId="3" fillId="2" borderId="0" xfId="1" applyFont="1" applyFill="1"/>
    <xf numFmtId="0" fontId="3" fillId="2" borderId="0" xfId="0" applyFont="1" applyFill="1"/>
    <xf numFmtId="0" fontId="0" fillId="2" borderId="2" xfId="0" applyFill="1" applyBorder="1"/>
    <xf numFmtId="17" fontId="3" fillId="2" borderId="0" xfId="0" applyNumberFormat="1" applyFont="1" applyFill="1"/>
    <xf numFmtId="43" fontId="2" fillId="0" borderId="2" xfId="0" applyNumberFormat="1" applyFont="1" applyBorder="1"/>
    <xf numFmtId="43" fontId="4" fillId="0" borderId="4" xfId="1" applyFont="1" applyBorder="1"/>
    <xf numFmtId="43" fontId="3" fillId="2" borderId="2" xfId="1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43" fontId="3" fillId="0" borderId="1" xfId="0" applyNumberFormat="1" applyFont="1" applyBorder="1"/>
    <xf numFmtId="43" fontId="2" fillId="0" borderId="2" xfId="1" applyFont="1" applyBorder="1"/>
    <xf numFmtId="43" fontId="3" fillId="2" borderId="6" xfId="1" applyFont="1" applyFill="1" applyBorder="1"/>
    <xf numFmtId="0" fontId="3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11" xfId="0" applyFont="1" applyBorder="1"/>
    <xf numFmtId="0" fontId="3" fillId="0" borderId="0" xfId="0" applyFont="1" applyAlignment="1">
      <alignment horizontal="center"/>
    </xf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43" fontId="0" fillId="0" borderId="2" xfId="1" applyFont="1" applyFill="1" applyBorder="1"/>
    <xf numFmtId="0" fontId="0" fillId="0" borderId="1" xfId="0" applyBorder="1"/>
    <xf numFmtId="43" fontId="3" fillId="2" borderId="2" xfId="1" applyFont="1" applyFill="1" applyBorder="1" applyAlignment="1">
      <alignment horizontal="center" wrapText="1"/>
    </xf>
    <xf numFmtId="0" fontId="3" fillId="2" borderId="0" xfId="0" applyFont="1" applyFill="1" applyAlignment="1">
      <alignment wrapText="1"/>
    </xf>
    <xf numFmtId="43" fontId="0" fillId="0" borderId="12" xfId="0" applyNumberFormat="1" applyBorder="1"/>
    <xf numFmtId="43" fontId="3" fillId="0" borderId="0" xfId="1" applyFont="1" applyFill="1"/>
    <xf numFmtId="0" fontId="3" fillId="0" borderId="2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CF2FA-6EFC-4A76-BD1B-999FD7EE8735}">
  <dimension ref="A1:F27"/>
  <sheetViews>
    <sheetView view="pageBreakPreview" zoomScaleNormal="100" zoomScaleSheetLayoutView="100" workbookViewId="0">
      <selection activeCell="I27" sqref="I27"/>
    </sheetView>
  </sheetViews>
  <sheetFormatPr defaultRowHeight="14.5" x14ac:dyDescent="0.35"/>
  <cols>
    <col min="1" max="1" width="28.90625" customWidth="1"/>
    <col min="3" max="3" width="11.1796875" bestFit="1" customWidth="1"/>
    <col min="4" max="4" width="9.1796875" bestFit="1" customWidth="1"/>
    <col min="5" max="6" width="10.1796875" bestFit="1" customWidth="1"/>
  </cols>
  <sheetData>
    <row r="1" spans="1:6" x14ac:dyDescent="0.35">
      <c r="A1" s="35"/>
      <c r="B1" s="36"/>
      <c r="C1" s="36"/>
      <c r="D1" s="37"/>
    </row>
    <row r="2" spans="1:6" x14ac:dyDescent="0.35">
      <c r="A2" s="38" t="s">
        <v>111</v>
      </c>
      <c r="C2" s="39" t="s">
        <v>44</v>
      </c>
      <c r="D2" s="40"/>
    </row>
    <row r="3" spans="1:6" x14ac:dyDescent="0.35">
      <c r="A3" s="41"/>
      <c r="C3" s="5"/>
      <c r="D3" s="40"/>
    </row>
    <row r="4" spans="1:6" x14ac:dyDescent="0.35">
      <c r="A4" s="41" t="s">
        <v>15</v>
      </c>
      <c r="C4" s="6">
        <f>Declarations!C173</f>
        <v>28000</v>
      </c>
      <c r="D4" s="40"/>
    </row>
    <row r="5" spans="1:6" x14ac:dyDescent="0.35">
      <c r="A5" s="41" t="s">
        <v>38</v>
      </c>
      <c r="C5" s="6">
        <f>SUM(Declarations!D173:J173)</f>
        <v>36420</v>
      </c>
      <c r="D5" s="40"/>
    </row>
    <row r="6" spans="1:6" x14ac:dyDescent="0.35">
      <c r="A6" s="41" t="s">
        <v>74</v>
      </c>
      <c r="C6" s="6">
        <f>Declarations!H94</f>
        <v>0</v>
      </c>
      <c r="D6" s="40"/>
    </row>
    <row r="7" spans="1:6" x14ac:dyDescent="0.35">
      <c r="A7" s="41"/>
      <c r="C7" s="5"/>
      <c r="D7" s="40"/>
    </row>
    <row r="8" spans="1:6" x14ac:dyDescent="0.35">
      <c r="A8" s="41" t="s">
        <v>39</v>
      </c>
      <c r="C8" s="6">
        <f>SUM(C4:C7)</f>
        <v>64420</v>
      </c>
      <c r="D8" s="40"/>
    </row>
    <row r="9" spans="1:6" x14ac:dyDescent="0.35">
      <c r="A9" s="41"/>
      <c r="C9" s="5"/>
      <c r="D9" s="40"/>
    </row>
    <row r="10" spans="1:6" x14ac:dyDescent="0.35">
      <c r="A10" s="41" t="s">
        <v>40</v>
      </c>
      <c r="C10" s="6">
        <f>Declarations!J132</f>
        <v>1200</v>
      </c>
      <c r="D10" s="40"/>
    </row>
    <row r="11" spans="1:6" x14ac:dyDescent="0.35">
      <c r="A11" s="41" t="s">
        <v>41</v>
      </c>
      <c r="C11" s="6">
        <f>Declarations!K132</f>
        <v>650</v>
      </c>
      <c r="D11" s="40"/>
    </row>
    <row r="12" spans="1:6" x14ac:dyDescent="0.35">
      <c r="A12" s="41"/>
      <c r="C12" s="5"/>
      <c r="D12" s="40"/>
    </row>
    <row r="13" spans="1:6" ht="15" thickBot="1" x14ac:dyDescent="0.4">
      <c r="A13" s="38" t="s">
        <v>42</v>
      </c>
      <c r="C13" s="31">
        <f>SUM(C8:C11)</f>
        <v>66270</v>
      </c>
      <c r="D13" s="40"/>
      <c r="F13" s="4"/>
    </row>
    <row r="14" spans="1:6" ht="15" thickTop="1" x14ac:dyDescent="0.35">
      <c r="A14" s="41"/>
      <c r="C14" s="5"/>
      <c r="D14" s="40"/>
    </row>
    <row r="15" spans="1:6" x14ac:dyDescent="0.35">
      <c r="A15" s="41"/>
      <c r="C15" s="5"/>
      <c r="D15" s="40"/>
    </row>
    <row r="16" spans="1:6" x14ac:dyDescent="0.35">
      <c r="A16" s="41" t="s">
        <v>108</v>
      </c>
      <c r="C16" s="6">
        <f>'Loans disbursed'!K18</f>
        <v>64420</v>
      </c>
      <c r="D16" s="40"/>
    </row>
    <row r="17" spans="1:6" x14ac:dyDescent="0.35">
      <c r="A17" s="41"/>
      <c r="C17" s="5"/>
      <c r="D17" s="40"/>
    </row>
    <row r="18" spans="1:6" x14ac:dyDescent="0.35">
      <c r="A18" s="41" t="s">
        <v>60</v>
      </c>
      <c r="C18" s="6">
        <f>Savings!O18</f>
        <v>300350</v>
      </c>
      <c r="D18" s="40"/>
    </row>
    <row r="19" spans="1:6" x14ac:dyDescent="0.35">
      <c r="A19" s="41" t="s">
        <v>61</v>
      </c>
      <c r="C19" s="6">
        <f>'Total Interest earned'!O19</f>
        <v>82517.512500000012</v>
      </c>
      <c r="D19" s="40"/>
    </row>
    <row r="20" spans="1:6" x14ac:dyDescent="0.35">
      <c r="A20" s="41" t="s">
        <v>80</v>
      </c>
      <c r="C20" s="6">
        <f>'Penalty interest'!M18</f>
        <v>690.00000000000011</v>
      </c>
      <c r="D20" s="40"/>
    </row>
    <row r="21" spans="1:6" ht="15" thickBot="1" x14ac:dyDescent="0.4">
      <c r="A21" s="41" t="s">
        <v>62</v>
      </c>
      <c r="C21" s="31">
        <f>SUM(C18:C20)</f>
        <v>383557.51250000001</v>
      </c>
      <c r="D21" s="40"/>
      <c r="F21" s="4"/>
    </row>
    <row r="22" spans="1:6" ht="15" thickTop="1" x14ac:dyDescent="0.35">
      <c r="A22" s="41"/>
      <c r="C22" s="5"/>
      <c r="D22" s="40"/>
    </row>
    <row r="23" spans="1:6" x14ac:dyDescent="0.35">
      <c r="A23" s="41"/>
      <c r="C23" s="5"/>
      <c r="D23" s="40"/>
    </row>
    <row r="24" spans="1:6" x14ac:dyDescent="0.35">
      <c r="A24" s="41" t="s">
        <v>43</v>
      </c>
      <c r="C24" s="6">
        <f>'Loan statements'!G197</f>
        <v>383557.51250000001</v>
      </c>
      <c r="D24" s="49"/>
      <c r="E24" s="4"/>
    </row>
    <row r="25" spans="1:6" x14ac:dyDescent="0.35">
      <c r="A25" s="41"/>
      <c r="D25" s="40"/>
    </row>
    <row r="26" spans="1:6" x14ac:dyDescent="0.35">
      <c r="A26" s="41" t="s">
        <v>63</v>
      </c>
      <c r="C26" s="6">
        <f>C8-C16</f>
        <v>0</v>
      </c>
      <c r="D26" s="40"/>
      <c r="E26" s="4"/>
    </row>
    <row r="27" spans="1:6" ht="15" thickBot="1" x14ac:dyDescent="0.4">
      <c r="A27" s="42"/>
      <c r="B27" s="43"/>
      <c r="C27" s="43"/>
      <c r="D27" s="4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016C-ABE6-4553-97A5-5BEA86B018D4}">
  <dimension ref="A1:H24"/>
  <sheetViews>
    <sheetView view="pageBreakPreview" zoomScaleNormal="100" zoomScaleSheetLayoutView="100" workbookViewId="0">
      <selection activeCell="I27" sqref="I27"/>
    </sheetView>
  </sheetViews>
  <sheetFormatPr defaultRowHeight="14.5" x14ac:dyDescent="0.35"/>
  <cols>
    <col min="2" max="2" width="17.453125" customWidth="1"/>
    <col min="3" max="3" width="13.08984375" style="1" bestFit="1" customWidth="1"/>
    <col min="4" max="5" width="12.08984375" style="1" customWidth="1"/>
    <col min="6" max="6" width="15.54296875" customWidth="1"/>
    <col min="7" max="7" width="11.1796875" bestFit="1" customWidth="1"/>
    <col min="8" max="8" width="10.90625" bestFit="1" customWidth="1"/>
  </cols>
  <sheetData>
    <row r="1" spans="1:8" x14ac:dyDescent="0.35">
      <c r="A1" s="24" t="s">
        <v>36</v>
      </c>
      <c r="B1" s="22"/>
    </row>
    <row r="2" spans="1:8" x14ac:dyDescent="0.35">
      <c r="A2" s="26">
        <v>45870</v>
      </c>
      <c r="B2" s="22"/>
    </row>
    <row r="3" spans="1:8" ht="41.5" customHeight="1" x14ac:dyDescent="0.35">
      <c r="A3" s="18">
        <v>7</v>
      </c>
      <c r="B3" s="18" t="s">
        <v>0</v>
      </c>
      <c r="C3" s="29" t="s">
        <v>24</v>
      </c>
      <c r="D3" s="29" t="s">
        <v>25</v>
      </c>
      <c r="E3" s="47" t="s">
        <v>78</v>
      </c>
      <c r="F3" s="30" t="s">
        <v>21</v>
      </c>
      <c r="G3" s="30" t="s">
        <v>16</v>
      </c>
      <c r="H3" s="30" t="s">
        <v>20</v>
      </c>
    </row>
    <row r="4" spans="1:8" x14ac:dyDescent="0.35">
      <c r="A4" s="18">
        <v>1</v>
      </c>
      <c r="B4" s="18" t="s">
        <v>2</v>
      </c>
      <c r="C4" s="10">
        <f>Savings!O4</f>
        <v>14900</v>
      </c>
      <c r="D4" s="10">
        <f>'Total Interest earned'!O5</f>
        <v>3871.7247120022098</v>
      </c>
      <c r="E4" s="10">
        <f>'Penalty interest'!M4</f>
        <v>53.07692307692308</v>
      </c>
      <c r="F4" s="11">
        <f>C4+D4+E4</f>
        <v>18824.801635079133</v>
      </c>
      <c r="G4" s="27">
        <f>'Loan statements'!G177</f>
        <v>10833</v>
      </c>
      <c r="H4" s="11">
        <f>F4-G4</f>
        <v>7991.8016350791331</v>
      </c>
    </row>
    <row r="5" spans="1:8" x14ac:dyDescent="0.35">
      <c r="A5" s="18">
        <v>2</v>
      </c>
      <c r="B5" s="18" t="s">
        <v>32</v>
      </c>
      <c r="C5" s="10">
        <f>Savings!O5</f>
        <v>16000</v>
      </c>
      <c r="D5" s="10">
        <f>'Total Interest earned'!O6</f>
        <v>4651.3999591886577</v>
      </c>
      <c r="E5" s="10">
        <f>'Penalty interest'!M5</f>
        <v>53.07692307692308</v>
      </c>
      <c r="F5" s="11">
        <f t="shared" ref="F5:F16" si="0">C5+D5+E5</f>
        <v>20704.476882265579</v>
      </c>
      <c r="G5" s="27">
        <f>'Loan statements'!G178+'Loan statements'!G179</f>
        <v>9900</v>
      </c>
      <c r="H5" s="27">
        <f t="shared" ref="H5:H16" si="1">F5-G5</f>
        <v>10804.476882265579</v>
      </c>
    </row>
    <row r="6" spans="1:8" x14ac:dyDescent="0.35">
      <c r="A6" s="18">
        <v>3</v>
      </c>
      <c r="B6" s="18" t="s">
        <v>9</v>
      </c>
      <c r="C6" s="10">
        <f>Savings!O6</f>
        <v>23100</v>
      </c>
      <c r="D6" s="10">
        <f>'Total Interest earned'!O7</f>
        <v>6959.0845171992551</v>
      </c>
      <c r="E6" s="10">
        <f>'Penalty interest'!M6</f>
        <v>53.07692307692308</v>
      </c>
      <c r="F6" s="11">
        <f t="shared" si="0"/>
        <v>30112.161440276177</v>
      </c>
      <c r="G6" s="27">
        <f>'Loan statements'!G180+'Loan statements'!G181</f>
        <v>51073.75</v>
      </c>
      <c r="H6" s="27">
        <f t="shared" si="1"/>
        <v>-20961.588559723823</v>
      </c>
    </row>
    <row r="7" spans="1:8" x14ac:dyDescent="0.35">
      <c r="A7" s="18">
        <v>4</v>
      </c>
      <c r="B7" s="18" t="s">
        <v>4</v>
      </c>
      <c r="C7" s="10">
        <f>Savings!O7</f>
        <v>26500</v>
      </c>
      <c r="D7" s="10">
        <f>'Total Interest earned'!O8</f>
        <v>8195.8823305441219</v>
      </c>
      <c r="E7" s="10">
        <f>'Penalty interest'!M7</f>
        <v>53.07692307692308</v>
      </c>
      <c r="F7" s="11">
        <f t="shared" si="0"/>
        <v>34748.95925362104</v>
      </c>
      <c r="G7" s="27">
        <f>'Loan statements'!G182+'Loan statements'!G183</f>
        <v>73130.762499999997</v>
      </c>
      <c r="H7" s="27">
        <f t="shared" si="1"/>
        <v>-38381.803246378957</v>
      </c>
    </row>
    <row r="8" spans="1:8" x14ac:dyDescent="0.35">
      <c r="A8" s="18">
        <v>5</v>
      </c>
      <c r="B8" s="18" t="s">
        <v>5</v>
      </c>
      <c r="C8" s="10">
        <f>Savings!O8</f>
        <v>51350</v>
      </c>
      <c r="D8" s="10">
        <f>'Total Interest earned'!O9</f>
        <v>11041.001061342322</v>
      </c>
      <c r="E8" s="10">
        <f>'Penalty interest'!M8</f>
        <v>53.07692307692308</v>
      </c>
      <c r="F8" s="11">
        <f t="shared" si="0"/>
        <v>62444.077984419244</v>
      </c>
      <c r="G8" s="27">
        <f>'Loan statements'!G184</f>
        <v>56000</v>
      </c>
      <c r="H8" s="27">
        <f t="shared" si="1"/>
        <v>6444.0779844192439</v>
      </c>
    </row>
    <row r="9" spans="1:8" x14ac:dyDescent="0.35">
      <c r="A9" s="18">
        <v>6</v>
      </c>
      <c r="B9" s="18" t="s">
        <v>6</v>
      </c>
      <c r="C9" s="10">
        <f>Savings!O9</f>
        <v>37000</v>
      </c>
      <c r="D9" s="10">
        <f>'Total Interest earned'!O10</f>
        <v>10051.65497909347</v>
      </c>
      <c r="E9" s="10">
        <f>'Penalty interest'!M9</f>
        <v>53.07692307692308</v>
      </c>
      <c r="F9" s="11">
        <f t="shared" si="0"/>
        <v>47104.731902170388</v>
      </c>
      <c r="G9" s="27">
        <f>'Loan statements'!G185</f>
        <v>13565</v>
      </c>
      <c r="H9" s="11">
        <f t="shared" si="1"/>
        <v>33539.731902170388</v>
      </c>
    </row>
    <row r="10" spans="1:8" x14ac:dyDescent="0.35">
      <c r="A10" s="18">
        <v>7</v>
      </c>
      <c r="B10" s="18" t="s">
        <v>7</v>
      </c>
      <c r="C10" s="10">
        <f>Savings!O10</f>
        <v>8300</v>
      </c>
      <c r="D10" s="10">
        <f>'Total Interest earned'!O11</f>
        <v>2648.2523019307087</v>
      </c>
      <c r="E10" s="10">
        <f>'Penalty interest'!M10</f>
        <v>53.07692307692308</v>
      </c>
      <c r="F10" s="11">
        <f t="shared" si="0"/>
        <v>11001.329225007632</v>
      </c>
      <c r="G10" s="27">
        <f>'Loan statements'!G186</f>
        <v>57500</v>
      </c>
      <c r="H10" s="11">
        <f t="shared" si="1"/>
        <v>-46498.670774992366</v>
      </c>
    </row>
    <row r="11" spans="1:8" x14ac:dyDescent="0.35">
      <c r="A11" s="18">
        <v>8</v>
      </c>
      <c r="B11" s="18" t="s">
        <v>12</v>
      </c>
      <c r="C11" s="10">
        <f>Savings!O11</f>
        <v>15100</v>
      </c>
      <c r="D11" s="10">
        <f>'Total Interest earned'!O12</f>
        <v>4741.9977180563592</v>
      </c>
      <c r="E11" s="10">
        <f>'Penalty interest'!M11</f>
        <v>53.07692307692308</v>
      </c>
      <c r="F11" s="11">
        <f t="shared" si="0"/>
        <v>19895.07464113328</v>
      </c>
      <c r="G11" s="27">
        <f>'Loan statements'!G187+'Loan statements'!G188</f>
        <v>13900</v>
      </c>
      <c r="H11" s="27">
        <f t="shared" si="1"/>
        <v>5995.0746411332802</v>
      </c>
    </row>
    <row r="12" spans="1:8" x14ac:dyDescent="0.35">
      <c r="A12" s="18">
        <v>9</v>
      </c>
      <c r="B12" s="18" t="s">
        <v>8</v>
      </c>
      <c r="C12" s="10">
        <f>Savings!O12</f>
        <v>28400</v>
      </c>
      <c r="D12" s="10">
        <f>'Total Interest earned'!O13</f>
        <v>7715.8578888115944</v>
      </c>
      <c r="E12" s="10">
        <f>'Penalty interest'!M12</f>
        <v>53.07692307692308</v>
      </c>
      <c r="F12" s="11">
        <f t="shared" si="0"/>
        <v>36168.934811888517</v>
      </c>
      <c r="G12" s="27">
        <f>'Loan statements'!G189</f>
        <v>32300</v>
      </c>
      <c r="H12" s="27">
        <f t="shared" si="1"/>
        <v>3868.9348118885173</v>
      </c>
    </row>
    <row r="13" spans="1:8" x14ac:dyDescent="0.35">
      <c r="A13" s="18">
        <v>10</v>
      </c>
      <c r="B13" s="18" t="s">
        <v>13</v>
      </c>
      <c r="C13" s="10">
        <f>Savings!O13</f>
        <v>24350</v>
      </c>
      <c r="D13" s="10">
        <f>'Total Interest earned'!O14</f>
        <v>6662.5013245808204</v>
      </c>
      <c r="E13" s="10">
        <f>'Penalty interest'!M13</f>
        <v>53.07692307692308</v>
      </c>
      <c r="F13" s="11">
        <f t="shared" si="0"/>
        <v>31065.578247657744</v>
      </c>
      <c r="G13" s="27">
        <f>'Loan statements'!G190+'Loan statements'!G191+'Loan statements'!G192</f>
        <v>40005</v>
      </c>
      <c r="H13" s="27">
        <f t="shared" si="1"/>
        <v>-8939.4217523422558</v>
      </c>
    </row>
    <row r="14" spans="1:8" x14ac:dyDescent="0.35">
      <c r="A14" s="18">
        <v>11</v>
      </c>
      <c r="B14" s="18" t="s">
        <v>10</v>
      </c>
      <c r="C14" s="10">
        <f>Savings!O14</f>
        <v>41150</v>
      </c>
      <c r="D14" s="10">
        <f>'Total Interest earned'!O15</f>
        <v>11808.671109382876</v>
      </c>
      <c r="E14" s="10">
        <f>'Penalty interest'!M14</f>
        <v>53.07692307692308</v>
      </c>
      <c r="F14" s="11">
        <f t="shared" si="0"/>
        <v>53011.7480324598</v>
      </c>
      <c r="G14" s="27">
        <f>'Loan statements'!G193</f>
        <v>14600</v>
      </c>
      <c r="H14" s="11">
        <f t="shared" si="1"/>
        <v>38411.7480324598</v>
      </c>
    </row>
    <row r="15" spans="1:8" x14ac:dyDescent="0.35">
      <c r="A15" s="18">
        <v>12</v>
      </c>
      <c r="B15" s="18" t="s">
        <v>14</v>
      </c>
      <c r="C15" s="10">
        <f>Savings!O15</f>
        <v>8200</v>
      </c>
      <c r="D15" s="10">
        <f>'Total Interest earned'!O16</f>
        <v>2420.8477077952957</v>
      </c>
      <c r="E15" s="10">
        <f>'Penalty interest'!M15</f>
        <v>53.07692307692308</v>
      </c>
      <c r="F15" s="11">
        <f t="shared" si="0"/>
        <v>10673.924630872219</v>
      </c>
      <c r="G15" s="27">
        <f>'Loan statements'!G194</f>
        <v>0</v>
      </c>
      <c r="H15" s="11">
        <f t="shared" si="1"/>
        <v>10673.924630872219</v>
      </c>
    </row>
    <row r="16" spans="1:8" x14ac:dyDescent="0.35">
      <c r="A16" s="18">
        <v>13</v>
      </c>
      <c r="B16" s="18" t="s">
        <v>11</v>
      </c>
      <c r="C16" s="10">
        <f>Savings!O16</f>
        <v>6000</v>
      </c>
      <c r="D16" s="10">
        <f>'Total Interest earned'!O17</f>
        <v>1748.6368900723146</v>
      </c>
      <c r="E16" s="10">
        <f>'Penalty interest'!M16</f>
        <v>53.07692307692308</v>
      </c>
      <c r="F16" s="11">
        <f t="shared" si="0"/>
        <v>7801.7138131492375</v>
      </c>
      <c r="G16" s="27">
        <f>'Loan statements'!G195</f>
        <v>10750</v>
      </c>
      <c r="H16" s="27">
        <f t="shared" si="1"/>
        <v>-2948.2861868507625</v>
      </c>
    </row>
    <row r="17" spans="1:8" x14ac:dyDescent="0.35">
      <c r="A17" s="9"/>
      <c r="B17" s="9"/>
      <c r="C17" s="10"/>
      <c r="D17" s="10"/>
      <c r="E17" s="10"/>
      <c r="F17" s="9"/>
      <c r="G17" s="27"/>
      <c r="H17" s="9"/>
    </row>
    <row r="18" spans="1:8" ht="15" thickBot="1" x14ac:dyDescent="0.4">
      <c r="A18" s="9"/>
      <c r="B18" s="9"/>
      <c r="C18" s="16">
        <f>SUM(C4:C17)</f>
        <v>300350</v>
      </c>
      <c r="D18" s="16">
        <f>SUM(D4:D17)</f>
        <v>82517.512500000012</v>
      </c>
      <c r="E18" s="16">
        <f>SUM(E4:E17)</f>
        <v>690.00000000000011</v>
      </c>
      <c r="F18" s="16">
        <f>SUM(F4:F17)</f>
        <v>383557.51250000001</v>
      </c>
      <c r="G18" s="28">
        <f>SUM(G4:G17)</f>
        <v>383557.51250000001</v>
      </c>
      <c r="H18" s="17">
        <v>0</v>
      </c>
    </row>
    <row r="21" spans="1:8" x14ac:dyDescent="0.35">
      <c r="H21" s="4"/>
    </row>
    <row r="22" spans="1:8" x14ac:dyDescent="0.35">
      <c r="F22" s="1"/>
    </row>
    <row r="24" spans="1:8" x14ac:dyDescent="0.35">
      <c r="F24" s="4"/>
    </row>
  </sheetData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E41A3-8CDE-4701-90AE-665BE7A1B112}">
  <dimension ref="A1:Q19"/>
  <sheetViews>
    <sheetView view="pageBreakPreview" zoomScaleNormal="100" zoomScaleSheetLayoutView="100" workbookViewId="0">
      <selection activeCell="I27" sqref="I27"/>
    </sheetView>
  </sheetViews>
  <sheetFormatPr defaultRowHeight="14.5" x14ac:dyDescent="0.35"/>
  <cols>
    <col min="1" max="1" width="7.453125" customWidth="1"/>
    <col min="2" max="2" width="18.1796875" customWidth="1"/>
    <col min="3" max="3" width="10.1796875" bestFit="1" customWidth="1"/>
    <col min="4" max="4" width="10.26953125" style="1" bestFit="1" customWidth="1"/>
    <col min="5" max="5" width="10.1796875" style="1" bestFit="1" customWidth="1"/>
    <col min="6" max="6" width="11.1796875" style="1" bestFit="1" customWidth="1"/>
    <col min="7" max="8" width="10.1796875" style="1" bestFit="1" customWidth="1"/>
    <col min="9" max="11" width="10.54296875" style="1" customWidth="1"/>
    <col min="12" max="14" width="10.54296875" style="1" hidden="1" customWidth="1"/>
    <col min="15" max="15" width="11.1796875" style="1" bestFit="1" customWidth="1"/>
    <col min="17" max="17" width="10.1796875" bestFit="1" customWidth="1"/>
  </cols>
  <sheetData>
    <row r="1" spans="1:17" x14ac:dyDescent="0.35">
      <c r="A1" s="24" t="s">
        <v>33</v>
      </c>
      <c r="B1" s="22"/>
      <c r="C1" s="23"/>
      <c r="D1" s="23"/>
      <c r="E1" s="23"/>
      <c r="F1" s="23"/>
      <c r="G1" s="23"/>
      <c r="H1" s="23"/>
      <c r="I1" s="23"/>
      <c r="J1" s="23"/>
      <c r="K1" s="20"/>
      <c r="L1" s="20"/>
      <c r="M1" s="20"/>
      <c r="N1" s="20"/>
      <c r="O1" s="23"/>
    </row>
    <row r="2" spans="1:17" x14ac:dyDescent="0.35">
      <c r="A2" s="25"/>
      <c r="B2" s="25"/>
      <c r="C2" s="20">
        <v>45658</v>
      </c>
      <c r="D2" s="20">
        <v>45689</v>
      </c>
      <c r="E2" s="20">
        <v>45717</v>
      </c>
      <c r="F2" s="20">
        <v>45748</v>
      </c>
      <c r="G2" s="20">
        <v>45778</v>
      </c>
      <c r="H2" s="20">
        <v>45809</v>
      </c>
      <c r="I2" s="20">
        <v>45839</v>
      </c>
      <c r="J2" s="20">
        <v>45870</v>
      </c>
      <c r="K2" s="20">
        <v>45901</v>
      </c>
      <c r="L2" s="20">
        <v>45931</v>
      </c>
      <c r="M2" s="20">
        <v>45962</v>
      </c>
      <c r="N2" s="20">
        <v>45992</v>
      </c>
      <c r="O2" s="19" t="s">
        <v>19</v>
      </c>
    </row>
    <row r="3" spans="1:17" x14ac:dyDescent="0.35">
      <c r="A3" s="18" t="s">
        <v>1</v>
      </c>
      <c r="B3" s="18" t="s">
        <v>0</v>
      </c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7" x14ac:dyDescent="0.35">
      <c r="A4" s="18">
        <v>1</v>
      </c>
      <c r="B4" s="18" t="s">
        <v>2</v>
      </c>
      <c r="C4" s="10">
        <f>1250</f>
        <v>1250</v>
      </c>
      <c r="D4" s="10">
        <v>9800</v>
      </c>
      <c r="E4" s="10">
        <v>500</v>
      </c>
      <c r="F4" s="10">
        <f>Declarations!C61</f>
        <v>500</v>
      </c>
      <c r="G4" s="10">
        <f>Declarations!C80</f>
        <v>850</v>
      </c>
      <c r="H4" s="10">
        <f>Declarations!C98</f>
        <v>500</v>
      </c>
      <c r="I4" s="10">
        <f>Declarations!C118</f>
        <v>500</v>
      </c>
      <c r="J4" s="10">
        <v>500</v>
      </c>
      <c r="K4" s="10">
        <v>500</v>
      </c>
      <c r="L4" s="10"/>
      <c r="M4" s="10"/>
      <c r="N4" s="10"/>
      <c r="O4" s="10">
        <f>SUM(C4:N4)</f>
        <v>14900</v>
      </c>
    </row>
    <row r="5" spans="1:17" x14ac:dyDescent="0.35">
      <c r="A5" s="18">
        <v>2</v>
      </c>
      <c r="B5" s="18" t="s">
        <v>32</v>
      </c>
      <c r="C5" s="10">
        <v>1500</v>
      </c>
      <c r="D5" s="10">
        <v>2000</v>
      </c>
      <c r="E5" s="10">
        <v>2000</v>
      </c>
      <c r="F5" s="10">
        <f>Declarations!C62</f>
        <v>2000</v>
      </c>
      <c r="G5" s="10">
        <f>Declarations!C81</f>
        <v>3000</v>
      </c>
      <c r="H5" s="10">
        <f>Declarations!C99</f>
        <v>3000</v>
      </c>
      <c r="I5" s="10">
        <v>500</v>
      </c>
      <c r="J5" s="10">
        <v>500</v>
      </c>
      <c r="K5" s="10">
        <v>1500</v>
      </c>
      <c r="L5" s="10"/>
      <c r="M5" s="10"/>
      <c r="N5" s="10"/>
      <c r="O5" s="10">
        <f t="shared" ref="O5:O16" si="0">SUM(C5:N5)</f>
        <v>16000</v>
      </c>
    </row>
    <row r="6" spans="1:17" x14ac:dyDescent="0.35">
      <c r="A6" s="18">
        <v>3</v>
      </c>
      <c r="B6" s="18" t="s">
        <v>9</v>
      </c>
      <c r="C6" s="10">
        <v>5000</v>
      </c>
      <c r="D6" s="10">
        <v>500</v>
      </c>
      <c r="E6" s="10">
        <v>500</v>
      </c>
      <c r="F6" s="10">
        <f>Declarations!C63</f>
        <v>500</v>
      </c>
      <c r="G6" s="10">
        <f>Declarations!C82</f>
        <v>13500</v>
      </c>
      <c r="H6" s="10">
        <f>Declarations!C100</f>
        <v>500</v>
      </c>
      <c r="I6" s="10">
        <v>500</v>
      </c>
      <c r="J6" s="10">
        <v>1050</v>
      </c>
      <c r="K6" s="10">
        <v>1050</v>
      </c>
      <c r="L6" s="10"/>
      <c r="M6" s="10"/>
      <c r="N6" s="10"/>
      <c r="O6" s="10">
        <f t="shared" si="0"/>
        <v>23100</v>
      </c>
    </row>
    <row r="7" spans="1:17" x14ac:dyDescent="0.35">
      <c r="A7" s="18">
        <v>4</v>
      </c>
      <c r="B7" s="18" t="s">
        <v>4</v>
      </c>
      <c r="C7" s="10">
        <v>20000</v>
      </c>
      <c r="D7" s="10">
        <v>500</v>
      </c>
      <c r="E7" s="10">
        <v>500</v>
      </c>
      <c r="F7" s="10">
        <f>Declarations!C64</f>
        <v>500</v>
      </c>
      <c r="G7" s="10">
        <f>Declarations!C83</f>
        <v>500</v>
      </c>
      <c r="H7" s="10">
        <f>Declarations!C101</f>
        <v>3000</v>
      </c>
      <c r="I7" s="10">
        <f>Declarations!C121</f>
        <v>500</v>
      </c>
      <c r="J7" s="10">
        <v>500</v>
      </c>
      <c r="K7" s="10">
        <v>500</v>
      </c>
      <c r="L7" s="10"/>
      <c r="M7" s="10"/>
      <c r="N7" s="10"/>
      <c r="O7" s="10">
        <f t="shared" si="0"/>
        <v>26500</v>
      </c>
    </row>
    <row r="8" spans="1:17" x14ac:dyDescent="0.35">
      <c r="A8" s="18">
        <v>5</v>
      </c>
      <c r="B8" s="18" t="s">
        <v>5</v>
      </c>
      <c r="C8" s="10">
        <v>500</v>
      </c>
      <c r="D8" s="10">
        <v>31500</v>
      </c>
      <c r="E8" s="10">
        <v>500</v>
      </c>
      <c r="F8" s="10">
        <f>Declarations!C65</f>
        <v>500</v>
      </c>
      <c r="G8" s="10">
        <f>Declarations!C84</f>
        <v>500</v>
      </c>
      <c r="H8" s="10">
        <f>Declarations!C102</f>
        <v>500</v>
      </c>
      <c r="I8" s="10">
        <f>Declarations!C122</f>
        <v>500</v>
      </c>
      <c r="J8" s="10">
        <v>500</v>
      </c>
      <c r="K8" s="10">
        <v>16350</v>
      </c>
      <c r="L8" s="10"/>
      <c r="M8" s="10"/>
      <c r="N8" s="10"/>
      <c r="O8" s="10">
        <f t="shared" si="0"/>
        <v>51350</v>
      </c>
    </row>
    <row r="9" spans="1:17" x14ac:dyDescent="0.35">
      <c r="A9" s="18">
        <v>6</v>
      </c>
      <c r="B9" s="18" t="s">
        <v>6</v>
      </c>
      <c r="C9" s="10">
        <v>9250</v>
      </c>
      <c r="D9" s="10">
        <v>20750</v>
      </c>
      <c r="E9" s="10">
        <v>2000</v>
      </c>
      <c r="F9" s="10">
        <f>Declarations!C66</f>
        <v>1000</v>
      </c>
      <c r="G9" s="10">
        <f>Declarations!C85</f>
        <v>2000</v>
      </c>
      <c r="H9" s="10">
        <f>Declarations!C103</f>
        <v>500</v>
      </c>
      <c r="I9" s="10">
        <f>Declarations!C123</f>
        <v>500</v>
      </c>
      <c r="J9" s="10">
        <v>500</v>
      </c>
      <c r="K9" s="10">
        <v>500</v>
      </c>
      <c r="L9" s="10"/>
      <c r="M9" s="10"/>
      <c r="N9" s="10"/>
      <c r="O9" s="10">
        <f t="shared" si="0"/>
        <v>37000</v>
      </c>
    </row>
    <row r="10" spans="1:17" x14ac:dyDescent="0.35">
      <c r="A10" s="18">
        <v>7</v>
      </c>
      <c r="B10" s="18" t="s">
        <v>7</v>
      </c>
      <c r="C10" s="10">
        <v>500</v>
      </c>
      <c r="D10" s="10">
        <v>600</v>
      </c>
      <c r="E10" s="10">
        <v>750</v>
      </c>
      <c r="F10" s="10">
        <f>Declarations!C67</f>
        <v>550</v>
      </c>
      <c r="G10" s="10">
        <f>Declarations!C86</f>
        <v>850</v>
      </c>
      <c r="H10" s="10">
        <f>Declarations!C104</f>
        <v>500</v>
      </c>
      <c r="I10" s="10">
        <f>Declarations!C124</f>
        <v>2850</v>
      </c>
      <c r="J10" s="10">
        <v>1200</v>
      </c>
      <c r="K10" s="10">
        <v>500</v>
      </c>
      <c r="L10" s="10"/>
      <c r="M10" s="10"/>
      <c r="N10" s="10"/>
      <c r="O10" s="10">
        <f t="shared" si="0"/>
        <v>8300</v>
      </c>
    </row>
    <row r="11" spans="1:17" x14ac:dyDescent="0.35">
      <c r="A11" s="18">
        <v>8</v>
      </c>
      <c r="B11" s="18" t="s">
        <v>12</v>
      </c>
      <c r="C11" s="10">
        <v>11000</v>
      </c>
      <c r="D11" s="10">
        <v>500</v>
      </c>
      <c r="E11" s="10">
        <v>500</v>
      </c>
      <c r="F11" s="10">
        <f>Declarations!C68</f>
        <v>550</v>
      </c>
      <c r="G11" s="10">
        <f>Declarations!C87</f>
        <v>500</v>
      </c>
      <c r="H11" s="10">
        <f>Declarations!C105</f>
        <v>550</v>
      </c>
      <c r="I11" s="10">
        <f>Declarations!C125</f>
        <v>500</v>
      </c>
      <c r="J11" s="10">
        <v>500</v>
      </c>
      <c r="K11" s="10">
        <v>500</v>
      </c>
      <c r="L11" s="10"/>
      <c r="M11" s="10"/>
      <c r="N11" s="10"/>
      <c r="O11" s="10">
        <f t="shared" si="0"/>
        <v>15100</v>
      </c>
    </row>
    <row r="12" spans="1:17" x14ac:dyDescent="0.35">
      <c r="A12" s="18">
        <v>9</v>
      </c>
      <c r="B12" s="18" t="s">
        <v>8</v>
      </c>
      <c r="C12" s="10">
        <v>1000</v>
      </c>
      <c r="D12" s="10">
        <v>7000</v>
      </c>
      <c r="E12" s="10">
        <v>10000</v>
      </c>
      <c r="F12" s="10">
        <f>Declarations!C69</f>
        <v>1000</v>
      </c>
      <c r="G12" s="10">
        <f>Declarations!C88</f>
        <v>1000</v>
      </c>
      <c r="H12" s="10">
        <f>Declarations!C106</f>
        <v>2850</v>
      </c>
      <c r="I12" s="10">
        <f>Declarations!C126</f>
        <v>2350</v>
      </c>
      <c r="J12" s="10">
        <v>2000</v>
      </c>
      <c r="K12" s="10">
        <v>1200</v>
      </c>
      <c r="L12" s="10"/>
      <c r="M12" s="10"/>
      <c r="N12" s="10"/>
      <c r="O12" s="10">
        <f t="shared" si="0"/>
        <v>28400</v>
      </c>
    </row>
    <row r="13" spans="1:17" x14ac:dyDescent="0.35">
      <c r="A13" s="18">
        <v>10</v>
      </c>
      <c r="B13" s="18" t="s">
        <v>13</v>
      </c>
      <c r="C13" s="10">
        <v>500</v>
      </c>
      <c r="D13" s="10">
        <v>850</v>
      </c>
      <c r="E13" s="10">
        <v>20000</v>
      </c>
      <c r="F13" s="10">
        <f>Declarations!C70</f>
        <v>500</v>
      </c>
      <c r="G13" s="10">
        <f>Declarations!C89</f>
        <v>500</v>
      </c>
      <c r="H13" s="10">
        <f>Declarations!C107</f>
        <v>500</v>
      </c>
      <c r="I13" s="10">
        <f>Declarations!C127</f>
        <v>500</v>
      </c>
      <c r="J13" s="10">
        <v>500</v>
      </c>
      <c r="K13" s="10">
        <v>500</v>
      </c>
      <c r="L13" s="10"/>
      <c r="M13" s="10"/>
      <c r="N13" s="10"/>
      <c r="O13" s="10">
        <f t="shared" si="0"/>
        <v>24350</v>
      </c>
      <c r="Q13" s="4"/>
    </row>
    <row r="14" spans="1:17" x14ac:dyDescent="0.35">
      <c r="A14" s="18">
        <v>11</v>
      </c>
      <c r="B14" s="18" t="s">
        <v>10</v>
      </c>
      <c r="C14" s="10">
        <v>0</v>
      </c>
      <c r="D14" s="10">
        <v>9850</v>
      </c>
      <c r="E14" s="10">
        <v>7900</v>
      </c>
      <c r="F14" s="10">
        <f>Declarations!C71</f>
        <v>4800</v>
      </c>
      <c r="G14" s="10">
        <f>Declarations!C90</f>
        <v>5100</v>
      </c>
      <c r="H14" s="10">
        <f>Declarations!C108</f>
        <v>5100</v>
      </c>
      <c r="I14" s="10">
        <f>Declarations!C128</f>
        <v>3100</v>
      </c>
      <c r="J14" s="10">
        <v>2200</v>
      </c>
      <c r="K14" s="10">
        <v>3100</v>
      </c>
      <c r="L14" s="10"/>
      <c r="M14" s="10"/>
      <c r="N14" s="10"/>
      <c r="O14" s="10">
        <f t="shared" si="0"/>
        <v>41150</v>
      </c>
    </row>
    <row r="15" spans="1:17" x14ac:dyDescent="0.35">
      <c r="A15" s="18">
        <v>12</v>
      </c>
      <c r="B15" s="18" t="s">
        <v>14</v>
      </c>
      <c r="C15" s="10">
        <v>500</v>
      </c>
      <c r="D15" s="10">
        <v>1000</v>
      </c>
      <c r="E15" s="10">
        <v>1000</v>
      </c>
      <c r="F15" s="10">
        <f>Declarations!C72</f>
        <v>1000</v>
      </c>
      <c r="G15" s="10">
        <f>Declarations!C91</f>
        <v>1200</v>
      </c>
      <c r="H15" s="10">
        <f>Declarations!C109</f>
        <v>500</v>
      </c>
      <c r="I15" s="10">
        <f>Declarations!C129</f>
        <v>1000</v>
      </c>
      <c r="J15" s="10">
        <v>1000</v>
      </c>
      <c r="K15" s="10">
        <v>1000</v>
      </c>
      <c r="L15" s="10"/>
      <c r="M15" s="10"/>
      <c r="N15" s="10"/>
      <c r="O15" s="10">
        <f t="shared" si="0"/>
        <v>8200</v>
      </c>
    </row>
    <row r="16" spans="1:17" x14ac:dyDescent="0.35">
      <c r="A16" s="18">
        <v>13</v>
      </c>
      <c r="B16" s="18" t="s">
        <v>11</v>
      </c>
      <c r="C16" s="10">
        <v>500</v>
      </c>
      <c r="D16" s="10">
        <v>700</v>
      </c>
      <c r="E16" s="10">
        <v>600</v>
      </c>
      <c r="F16" s="10">
        <f>Declarations!C73</f>
        <v>800</v>
      </c>
      <c r="G16" s="10">
        <f>Declarations!C92</f>
        <v>600</v>
      </c>
      <c r="H16" s="10">
        <f>Declarations!C110</f>
        <v>700</v>
      </c>
      <c r="I16" s="10">
        <f>Declarations!C130</f>
        <v>600</v>
      </c>
      <c r="J16" s="10">
        <v>700</v>
      </c>
      <c r="K16" s="10">
        <v>800</v>
      </c>
      <c r="L16" s="10"/>
      <c r="M16" s="10"/>
      <c r="N16" s="10"/>
      <c r="O16" s="10">
        <f t="shared" si="0"/>
        <v>6000</v>
      </c>
    </row>
    <row r="17" spans="1:15" x14ac:dyDescent="0.35">
      <c r="A17" s="9"/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1:15" ht="15" thickBot="1" x14ac:dyDescent="0.4">
      <c r="C18" s="8">
        <f>SUM(C4:C17)</f>
        <v>51500</v>
      </c>
      <c r="D18" s="8">
        <f>SUM(D4:D17)</f>
        <v>85550</v>
      </c>
      <c r="E18" s="8">
        <f t="shared" ref="E18:K18" si="1">SUM(E4:E16)</f>
        <v>46750</v>
      </c>
      <c r="F18" s="8">
        <f t="shared" si="1"/>
        <v>14200</v>
      </c>
      <c r="G18" s="8">
        <f t="shared" si="1"/>
        <v>30100</v>
      </c>
      <c r="H18" s="8">
        <f t="shared" si="1"/>
        <v>18700</v>
      </c>
      <c r="I18" s="8">
        <f t="shared" si="1"/>
        <v>13900</v>
      </c>
      <c r="J18" s="8">
        <f t="shared" si="1"/>
        <v>11650</v>
      </c>
      <c r="K18" s="8">
        <f t="shared" si="1"/>
        <v>28000</v>
      </c>
      <c r="L18" s="8"/>
      <c r="M18" s="8"/>
      <c r="N18" s="8"/>
      <c r="O18" s="8">
        <f>SUM(O4:O17)</f>
        <v>300350</v>
      </c>
    </row>
    <row r="19" spans="1:15" ht="15" thickTop="1" x14ac:dyDescent="0.35"/>
  </sheetData>
  <pageMargins left="0.25" right="0.25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2FFA-D71B-4A47-97F1-3481BF1E78FA}">
  <dimension ref="A1:P175"/>
  <sheetViews>
    <sheetView view="pageBreakPreview" topLeftCell="A150" zoomScaleNormal="100" zoomScaleSheetLayoutView="100" workbookViewId="0">
      <selection activeCell="I27" sqref="I27"/>
    </sheetView>
  </sheetViews>
  <sheetFormatPr defaultRowHeight="14.5" x14ac:dyDescent="0.35"/>
  <cols>
    <col min="1" max="1" width="4.453125" customWidth="1"/>
    <col min="2" max="2" width="18" bestFit="1" customWidth="1"/>
    <col min="3" max="3" width="10.1796875" style="1" bestFit="1" customWidth="1"/>
    <col min="4" max="4" width="11.7265625" style="1" customWidth="1"/>
    <col min="5" max="5" width="11" style="1" customWidth="1"/>
    <col min="6" max="7" width="11.90625" style="1" customWidth="1"/>
    <col min="8" max="8" width="11.6328125" style="1" customWidth="1"/>
    <col min="9" max="10" width="12.08984375" customWidth="1"/>
    <col min="11" max="13" width="10.1796875" bestFit="1" customWidth="1"/>
    <col min="16" max="16" width="9.1796875" bestFit="1" customWidth="1"/>
  </cols>
  <sheetData>
    <row r="1" spans="1:9" x14ac:dyDescent="0.35">
      <c r="A1" s="24" t="s">
        <v>45</v>
      </c>
      <c r="B1" s="24" t="s">
        <v>50</v>
      </c>
      <c r="C1" s="23"/>
      <c r="D1" s="23"/>
      <c r="E1" s="23"/>
      <c r="F1" s="23"/>
      <c r="G1" s="23"/>
      <c r="H1" s="23"/>
      <c r="I1" s="23"/>
    </row>
    <row r="2" spans="1:9" ht="29" x14ac:dyDescent="0.35">
      <c r="A2" s="25"/>
      <c r="B2" s="25"/>
      <c r="C2" s="19" t="s">
        <v>46</v>
      </c>
      <c r="D2" s="29" t="s">
        <v>47</v>
      </c>
      <c r="E2" s="19" t="s">
        <v>40</v>
      </c>
      <c r="F2" s="19" t="s">
        <v>48</v>
      </c>
      <c r="G2" s="19"/>
      <c r="H2" s="19"/>
      <c r="I2" s="19" t="s">
        <v>19</v>
      </c>
    </row>
    <row r="3" spans="1:9" x14ac:dyDescent="0.35">
      <c r="A3" s="18" t="s">
        <v>1</v>
      </c>
      <c r="B3" s="18" t="s">
        <v>0</v>
      </c>
      <c r="C3" s="10"/>
      <c r="D3" s="10"/>
      <c r="E3" s="10"/>
      <c r="F3" s="10"/>
      <c r="G3" s="10"/>
      <c r="H3" s="10"/>
      <c r="I3" s="10"/>
    </row>
    <row r="4" spans="1:9" x14ac:dyDescent="0.35">
      <c r="A4" s="18">
        <v>1</v>
      </c>
      <c r="B4" s="18" t="s">
        <v>2</v>
      </c>
      <c r="C4" s="10">
        <v>1250</v>
      </c>
      <c r="D4" s="10">
        <v>0</v>
      </c>
      <c r="E4" s="10">
        <v>200</v>
      </c>
      <c r="F4" s="10">
        <v>50</v>
      </c>
      <c r="G4" s="10"/>
      <c r="H4" s="10"/>
      <c r="I4" s="10">
        <f t="shared" ref="I4:I16" si="0">SUM(C4:F4)</f>
        <v>1500</v>
      </c>
    </row>
    <row r="5" spans="1:9" x14ac:dyDescent="0.35">
      <c r="A5" s="18">
        <v>2</v>
      </c>
      <c r="B5" s="18" t="s">
        <v>3</v>
      </c>
      <c r="C5" s="10">
        <v>1500</v>
      </c>
      <c r="D5" s="10">
        <v>0</v>
      </c>
      <c r="E5" s="10">
        <v>200</v>
      </c>
      <c r="F5" s="10">
        <v>50</v>
      </c>
      <c r="G5" s="10"/>
      <c r="H5" s="10"/>
      <c r="I5" s="10">
        <f t="shared" si="0"/>
        <v>1750</v>
      </c>
    </row>
    <row r="6" spans="1:9" x14ac:dyDescent="0.35">
      <c r="A6" s="18">
        <v>3</v>
      </c>
      <c r="B6" s="18" t="s">
        <v>9</v>
      </c>
      <c r="C6" s="10">
        <v>5000</v>
      </c>
      <c r="D6" s="10">
        <v>0</v>
      </c>
      <c r="E6" s="10">
        <v>0</v>
      </c>
      <c r="F6" s="10">
        <v>50</v>
      </c>
      <c r="G6" s="10"/>
      <c r="H6" s="10"/>
      <c r="I6" s="10">
        <f t="shared" si="0"/>
        <v>5050</v>
      </c>
    </row>
    <row r="7" spans="1:9" x14ac:dyDescent="0.35">
      <c r="A7" s="18">
        <v>4</v>
      </c>
      <c r="B7" s="18" t="s">
        <v>4</v>
      </c>
      <c r="C7" s="10">
        <v>20000</v>
      </c>
      <c r="D7" s="10">
        <v>0</v>
      </c>
      <c r="E7" s="10">
        <v>0</v>
      </c>
      <c r="F7" s="10">
        <v>50</v>
      </c>
      <c r="G7" s="10"/>
      <c r="H7" s="10"/>
      <c r="I7" s="10">
        <f t="shared" si="0"/>
        <v>20050</v>
      </c>
    </row>
    <row r="8" spans="1:9" x14ac:dyDescent="0.35">
      <c r="A8" s="18">
        <v>5</v>
      </c>
      <c r="B8" s="18" t="s">
        <v>5</v>
      </c>
      <c r="C8" s="10">
        <v>500</v>
      </c>
      <c r="D8" s="10">
        <v>0</v>
      </c>
      <c r="E8" s="10">
        <v>200</v>
      </c>
      <c r="F8" s="10">
        <v>50</v>
      </c>
      <c r="G8" s="10"/>
      <c r="H8" s="10"/>
      <c r="I8" s="10">
        <f t="shared" si="0"/>
        <v>750</v>
      </c>
    </row>
    <row r="9" spans="1:9" x14ac:dyDescent="0.35">
      <c r="A9" s="18">
        <v>6</v>
      </c>
      <c r="B9" s="18" t="s">
        <v>6</v>
      </c>
      <c r="C9" s="10">
        <v>9250</v>
      </c>
      <c r="D9" s="10">
        <v>0</v>
      </c>
      <c r="E9" s="10">
        <v>200</v>
      </c>
      <c r="F9" s="10">
        <v>50</v>
      </c>
      <c r="G9" s="10"/>
      <c r="H9" s="10"/>
      <c r="I9" s="10">
        <f t="shared" si="0"/>
        <v>9500</v>
      </c>
    </row>
    <row r="10" spans="1:9" x14ac:dyDescent="0.35">
      <c r="A10" s="18">
        <v>7</v>
      </c>
      <c r="B10" s="18" t="s">
        <v>7</v>
      </c>
      <c r="C10" s="10">
        <v>500</v>
      </c>
      <c r="D10" s="10">
        <v>0</v>
      </c>
      <c r="E10" s="10">
        <v>200</v>
      </c>
      <c r="F10" s="10">
        <v>50</v>
      </c>
      <c r="G10" s="10"/>
      <c r="H10" s="10"/>
      <c r="I10" s="10">
        <f t="shared" si="0"/>
        <v>750</v>
      </c>
    </row>
    <row r="11" spans="1:9" x14ac:dyDescent="0.35">
      <c r="A11" s="18">
        <v>8</v>
      </c>
      <c r="B11" s="18" t="s">
        <v>12</v>
      </c>
      <c r="C11" s="10">
        <v>11000</v>
      </c>
      <c r="D11" s="10">
        <v>0</v>
      </c>
      <c r="E11" s="10">
        <v>200</v>
      </c>
      <c r="F11" s="10">
        <v>50</v>
      </c>
      <c r="G11" s="10"/>
      <c r="H11" s="10"/>
      <c r="I11" s="10">
        <f t="shared" si="0"/>
        <v>11250</v>
      </c>
    </row>
    <row r="12" spans="1:9" x14ac:dyDescent="0.35">
      <c r="A12" s="18">
        <v>9</v>
      </c>
      <c r="B12" s="18" t="s">
        <v>8</v>
      </c>
      <c r="C12" s="10">
        <v>1000</v>
      </c>
      <c r="D12" s="10">
        <v>0</v>
      </c>
      <c r="E12" s="10">
        <v>200</v>
      </c>
      <c r="F12" s="10">
        <v>50</v>
      </c>
      <c r="G12" s="10"/>
      <c r="H12" s="10"/>
      <c r="I12" s="10">
        <f t="shared" si="0"/>
        <v>1250</v>
      </c>
    </row>
    <row r="13" spans="1:9" x14ac:dyDescent="0.35">
      <c r="A13" s="18">
        <v>10</v>
      </c>
      <c r="B13" s="18" t="s">
        <v>13</v>
      </c>
      <c r="C13" s="10">
        <v>500</v>
      </c>
      <c r="D13" s="10">
        <v>0</v>
      </c>
      <c r="E13" s="10">
        <v>200</v>
      </c>
      <c r="F13" s="10">
        <v>50</v>
      </c>
      <c r="G13" s="10"/>
      <c r="H13" s="10"/>
      <c r="I13" s="10">
        <f t="shared" si="0"/>
        <v>750</v>
      </c>
    </row>
    <row r="14" spans="1:9" x14ac:dyDescent="0.35">
      <c r="A14" s="18">
        <v>11</v>
      </c>
      <c r="B14" s="18" t="s">
        <v>10</v>
      </c>
      <c r="C14" s="10">
        <v>0</v>
      </c>
      <c r="D14" s="10">
        <v>0</v>
      </c>
      <c r="E14" s="10">
        <v>200</v>
      </c>
      <c r="F14" s="10">
        <v>50</v>
      </c>
      <c r="G14" s="10"/>
      <c r="H14" s="10"/>
      <c r="I14" s="10">
        <f t="shared" si="0"/>
        <v>250</v>
      </c>
    </row>
    <row r="15" spans="1:9" x14ac:dyDescent="0.35">
      <c r="A15" s="18">
        <v>12</v>
      </c>
      <c r="B15" s="18" t="s">
        <v>14</v>
      </c>
      <c r="C15" s="10">
        <v>500</v>
      </c>
      <c r="D15" s="10">
        <v>0</v>
      </c>
      <c r="E15" s="10">
        <v>200</v>
      </c>
      <c r="F15" s="10">
        <v>50</v>
      </c>
      <c r="G15" s="10"/>
      <c r="H15" s="10"/>
      <c r="I15" s="10">
        <f t="shared" si="0"/>
        <v>750</v>
      </c>
    </row>
    <row r="16" spans="1:9" x14ac:dyDescent="0.35">
      <c r="A16" s="18">
        <v>13</v>
      </c>
      <c r="B16" s="18" t="s">
        <v>11</v>
      </c>
      <c r="C16" s="10">
        <v>500</v>
      </c>
      <c r="D16" s="10">
        <v>0</v>
      </c>
      <c r="E16" s="10">
        <v>200</v>
      </c>
      <c r="F16" s="10">
        <v>50</v>
      </c>
      <c r="G16" s="10"/>
      <c r="H16" s="10"/>
      <c r="I16" s="10">
        <f t="shared" si="0"/>
        <v>750</v>
      </c>
    </row>
    <row r="17" spans="1:9" x14ac:dyDescent="0.35">
      <c r="A17" s="9"/>
      <c r="B17" s="9"/>
      <c r="C17" s="10"/>
      <c r="D17" s="10"/>
      <c r="E17" s="10"/>
      <c r="F17" s="10"/>
      <c r="G17" s="10"/>
      <c r="H17" s="10"/>
      <c r="I17" s="10"/>
    </row>
    <row r="18" spans="1:9" ht="15" thickBot="1" x14ac:dyDescent="0.4">
      <c r="C18" s="8">
        <f>SUM(C4:C17)</f>
        <v>51500</v>
      </c>
      <c r="D18" s="8">
        <f>SUM(D4:D17)</f>
        <v>0</v>
      </c>
      <c r="E18" s="8">
        <f t="shared" ref="E18:F18" si="1">SUM(E4:E17)</f>
        <v>2200</v>
      </c>
      <c r="F18" s="8">
        <f t="shared" si="1"/>
        <v>650</v>
      </c>
      <c r="G18" s="8"/>
      <c r="H18" s="8"/>
      <c r="I18" s="8">
        <f>SUM(I4:I17)</f>
        <v>54350</v>
      </c>
    </row>
    <row r="19" spans="1:9" ht="15" thickTop="1" x14ac:dyDescent="0.35">
      <c r="I19" s="1"/>
    </row>
    <row r="20" spans="1:9" x14ac:dyDescent="0.35">
      <c r="A20" s="24" t="s">
        <v>45</v>
      </c>
      <c r="B20" s="24" t="s">
        <v>49</v>
      </c>
      <c r="C20" s="23"/>
      <c r="D20" s="23"/>
      <c r="E20" s="23"/>
      <c r="F20" s="23"/>
      <c r="G20" s="23"/>
      <c r="H20" s="23"/>
      <c r="I20" s="23"/>
    </row>
    <row r="21" spans="1:9" ht="29" x14ac:dyDescent="0.35">
      <c r="A21" s="25"/>
      <c r="B21" s="25"/>
      <c r="C21" s="19" t="s">
        <v>46</v>
      </c>
      <c r="D21" s="29" t="s">
        <v>58</v>
      </c>
      <c r="E21" s="19" t="s">
        <v>40</v>
      </c>
      <c r="F21" s="19" t="s">
        <v>48</v>
      </c>
      <c r="G21" s="19"/>
      <c r="H21" s="19"/>
      <c r="I21" s="19" t="s">
        <v>19</v>
      </c>
    </row>
    <row r="22" spans="1:9" x14ac:dyDescent="0.35">
      <c r="A22" s="18" t="s">
        <v>1</v>
      </c>
      <c r="B22" s="18" t="s">
        <v>0</v>
      </c>
      <c r="C22" s="10"/>
      <c r="D22" s="10"/>
      <c r="E22" s="10"/>
      <c r="F22" s="10"/>
      <c r="G22" s="10"/>
      <c r="H22" s="10"/>
      <c r="I22" s="10"/>
    </row>
    <row r="23" spans="1:9" x14ac:dyDescent="0.35">
      <c r="A23" s="18">
        <v>1</v>
      </c>
      <c r="B23" s="18" t="s">
        <v>2</v>
      </c>
      <c r="C23" s="10">
        <v>9800</v>
      </c>
      <c r="D23" s="10">
        <v>0</v>
      </c>
      <c r="E23" s="10">
        <v>0</v>
      </c>
      <c r="F23" s="10">
        <v>50</v>
      </c>
      <c r="G23" s="10"/>
      <c r="H23" s="10"/>
      <c r="I23" s="10">
        <f t="shared" ref="I23:I35" si="2">SUM(C23:F23)</f>
        <v>9850</v>
      </c>
    </row>
    <row r="24" spans="1:9" x14ac:dyDescent="0.35">
      <c r="A24" s="18">
        <v>2</v>
      </c>
      <c r="B24" s="18" t="s">
        <v>3</v>
      </c>
      <c r="C24" s="10">
        <v>2000</v>
      </c>
      <c r="D24" s="10">
        <v>0</v>
      </c>
      <c r="E24" s="10">
        <v>100</v>
      </c>
      <c r="F24" s="10">
        <v>50</v>
      </c>
      <c r="G24" s="10"/>
      <c r="H24" s="10"/>
      <c r="I24" s="10">
        <f t="shared" si="2"/>
        <v>2150</v>
      </c>
    </row>
    <row r="25" spans="1:9" x14ac:dyDescent="0.35">
      <c r="A25" s="18">
        <v>3</v>
      </c>
      <c r="B25" s="18" t="s">
        <v>9</v>
      </c>
      <c r="C25" s="10">
        <v>500</v>
      </c>
      <c r="D25" s="10">
        <v>1600</v>
      </c>
      <c r="E25" s="10">
        <v>100</v>
      </c>
      <c r="F25" s="10">
        <v>50</v>
      </c>
      <c r="G25" s="10"/>
      <c r="H25" s="10"/>
      <c r="I25" s="10">
        <f t="shared" si="2"/>
        <v>2250</v>
      </c>
    </row>
    <row r="26" spans="1:9" x14ac:dyDescent="0.35">
      <c r="A26" s="18">
        <v>4</v>
      </c>
      <c r="B26" s="18" t="s">
        <v>4</v>
      </c>
      <c r="C26" s="10">
        <v>500</v>
      </c>
      <c r="D26" s="10">
        <v>4000</v>
      </c>
      <c r="E26" s="10">
        <v>100</v>
      </c>
      <c r="F26" s="10">
        <v>50</v>
      </c>
      <c r="G26" s="10"/>
      <c r="H26" s="10"/>
      <c r="I26" s="10">
        <f t="shared" si="2"/>
        <v>4650</v>
      </c>
    </row>
    <row r="27" spans="1:9" x14ac:dyDescent="0.35">
      <c r="A27" s="18">
        <v>5</v>
      </c>
      <c r="B27" s="18" t="s">
        <v>5</v>
      </c>
      <c r="C27" s="10">
        <v>31500</v>
      </c>
      <c r="D27" s="10">
        <v>0</v>
      </c>
      <c r="E27" s="10">
        <v>100</v>
      </c>
      <c r="F27" s="10">
        <v>50</v>
      </c>
      <c r="G27" s="10"/>
      <c r="H27" s="10"/>
      <c r="I27" s="10">
        <f t="shared" si="2"/>
        <v>31650</v>
      </c>
    </row>
    <row r="28" spans="1:9" x14ac:dyDescent="0.35">
      <c r="A28" s="18">
        <v>6</v>
      </c>
      <c r="B28" s="18" t="s">
        <v>6</v>
      </c>
      <c r="C28" s="10">
        <v>20750</v>
      </c>
      <c r="D28" s="10">
        <v>0</v>
      </c>
      <c r="E28" s="10">
        <v>100</v>
      </c>
      <c r="F28" s="10">
        <v>50</v>
      </c>
      <c r="G28" s="10"/>
      <c r="H28" s="10"/>
      <c r="I28" s="10">
        <f t="shared" si="2"/>
        <v>20900</v>
      </c>
    </row>
    <row r="29" spans="1:9" x14ac:dyDescent="0.35">
      <c r="A29" s="18">
        <v>7</v>
      </c>
      <c r="B29" s="18" t="s">
        <v>7</v>
      </c>
      <c r="C29" s="10">
        <v>600</v>
      </c>
      <c r="D29" s="10">
        <v>0</v>
      </c>
      <c r="E29" s="10">
        <v>100</v>
      </c>
      <c r="F29" s="10">
        <v>50</v>
      </c>
      <c r="G29" s="10"/>
      <c r="H29" s="10"/>
      <c r="I29" s="10">
        <f t="shared" si="2"/>
        <v>750</v>
      </c>
    </row>
    <row r="30" spans="1:9" x14ac:dyDescent="0.35">
      <c r="A30" s="18">
        <v>8</v>
      </c>
      <c r="B30" s="18" t="s">
        <v>12</v>
      </c>
      <c r="C30" s="10">
        <v>500</v>
      </c>
      <c r="D30" s="10">
        <v>0</v>
      </c>
      <c r="E30" s="10">
        <v>100</v>
      </c>
      <c r="F30" s="10">
        <v>50</v>
      </c>
      <c r="G30" s="10"/>
      <c r="H30" s="10"/>
      <c r="I30" s="10">
        <f t="shared" si="2"/>
        <v>650</v>
      </c>
    </row>
    <row r="31" spans="1:9" x14ac:dyDescent="0.35">
      <c r="A31" s="18">
        <v>9</v>
      </c>
      <c r="B31" s="18" t="s">
        <v>8</v>
      </c>
      <c r="C31" s="10">
        <v>7000</v>
      </c>
      <c r="D31" s="10">
        <v>0</v>
      </c>
      <c r="E31" s="10">
        <v>100</v>
      </c>
      <c r="F31" s="10">
        <v>50</v>
      </c>
      <c r="G31" s="10"/>
      <c r="H31" s="10"/>
      <c r="I31" s="10">
        <f t="shared" si="2"/>
        <v>7150</v>
      </c>
    </row>
    <row r="32" spans="1:9" x14ac:dyDescent="0.35">
      <c r="A32" s="18">
        <v>10</v>
      </c>
      <c r="B32" s="18" t="s">
        <v>13</v>
      </c>
      <c r="C32" s="10">
        <v>850</v>
      </c>
      <c r="D32" s="10">
        <v>0</v>
      </c>
      <c r="E32" s="10">
        <v>100</v>
      </c>
      <c r="F32" s="10">
        <v>50</v>
      </c>
      <c r="G32" s="10"/>
      <c r="H32" s="10"/>
      <c r="I32" s="10">
        <f t="shared" si="2"/>
        <v>1000</v>
      </c>
    </row>
    <row r="33" spans="1:10" x14ac:dyDescent="0.35">
      <c r="A33" s="18">
        <v>11</v>
      </c>
      <c r="B33" s="18" t="s">
        <v>10</v>
      </c>
      <c r="C33" s="10">
        <v>9850</v>
      </c>
      <c r="D33" s="10">
        <v>0</v>
      </c>
      <c r="E33" s="10">
        <v>100</v>
      </c>
      <c r="F33" s="10">
        <v>50</v>
      </c>
      <c r="G33" s="10"/>
      <c r="H33" s="10"/>
      <c r="I33" s="10">
        <f t="shared" si="2"/>
        <v>10000</v>
      </c>
    </row>
    <row r="34" spans="1:10" x14ac:dyDescent="0.35">
      <c r="A34" s="18">
        <v>12</v>
      </c>
      <c r="B34" s="18" t="s">
        <v>14</v>
      </c>
      <c r="C34" s="10">
        <v>1000</v>
      </c>
      <c r="D34" s="10">
        <v>0</v>
      </c>
      <c r="E34" s="10">
        <v>100</v>
      </c>
      <c r="F34" s="10">
        <v>50</v>
      </c>
      <c r="G34" s="10"/>
      <c r="H34" s="10"/>
      <c r="I34" s="10">
        <f t="shared" si="2"/>
        <v>1150</v>
      </c>
    </row>
    <row r="35" spans="1:10" x14ac:dyDescent="0.35">
      <c r="A35" s="18">
        <v>13</v>
      </c>
      <c r="B35" s="18" t="s">
        <v>11</v>
      </c>
      <c r="C35" s="10">
        <v>700</v>
      </c>
      <c r="D35" s="10">
        <v>650</v>
      </c>
      <c r="E35" s="10">
        <v>100</v>
      </c>
      <c r="F35" s="10">
        <v>50</v>
      </c>
      <c r="G35" s="10"/>
      <c r="H35" s="10"/>
      <c r="I35" s="10">
        <f t="shared" si="2"/>
        <v>1500</v>
      </c>
    </row>
    <row r="36" spans="1:10" x14ac:dyDescent="0.35">
      <c r="A36" s="9"/>
      <c r="B36" s="9"/>
      <c r="C36" s="10"/>
      <c r="D36" s="10"/>
      <c r="E36" s="10"/>
      <c r="F36" s="10"/>
      <c r="G36" s="10"/>
      <c r="H36" s="10"/>
      <c r="I36" s="10"/>
    </row>
    <row r="37" spans="1:10" ht="15" thickBot="1" x14ac:dyDescent="0.4">
      <c r="C37" s="8">
        <f>SUM(C23:C36)</f>
        <v>85550</v>
      </c>
      <c r="D37" s="8">
        <f>SUM(D23:D36)</f>
        <v>6250</v>
      </c>
      <c r="E37" s="8">
        <f t="shared" ref="E37" si="3">SUM(E23:E36)</f>
        <v>1200</v>
      </c>
      <c r="F37" s="8">
        <f t="shared" ref="F37" si="4">SUM(F23:F36)</f>
        <v>650</v>
      </c>
      <c r="G37" s="8"/>
      <c r="H37" s="8"/>
      <c r="I37" s="8">
        <f>SUM(I23:I36)</f>
        <v>93650</v>
      </c>
    </row>
    <row r="38" spans="1:10" ht="15" thickTop="1" x14ac:dyDescent="0.35"/>
    <row r="39" spans="1:10" x14ac:dyDescent="0.35">
      <c r="A39" s="24" t="s">
        <v>45</v>
      </c>
      <c r="B39" s="24" t="s">
        <v>51</v>
      </c>
      <c r="C39" s="23"/>
      <c r="D39" s="23"/>
      <c r="E39" s="23"/>
      <c r="F39" s="23"/>
      <c r="G39" s="23"/>
      <c r="H39" s="23"/>
      <c r="I39" s="23"/>
    </row>
    <row r="40" spans="1:10" ht="29" x14ac:dyDescent="0.35">
      <c r="A40" s="25"/>
      <c r="B40" s="25"/>
      <c r="C40" s="19" t="s">
        <v>46</v>
      </c>
      <c r="D40" s="29" t="s">
        <v>58</v>
      </c>
      <c r="E40" s="29" t="s">
        <v>59</v>
      </c>
      <c r="F40" s="19" t="s">
        <v>40</v>
      </c>
      <c r="G40" s="19"/>
      <c r="H40" s="19"/>
      <c r="I40" s="19" t="s">
        <v>48</v>
      </c>
      <c r="J40" s="19" t="s">
        <v>19</v>
      </c>
    </row>
    <row r="41" spans="1:10" x14ac:dyDescent="0.35">
      <c r="A41" s="18" t="s">
        <v>1</v>
      </c>
      <c r="B41" s="18" t="s">
        <v>0</v>
      </c>
      <c r="C41" s="10"/>
      <c r="D41" s="10"/>
      <c r="E41" s="10"/>
      <c r="F41" s="10"/>
      <c r="G41" s="10"/>
      <c r="H41" s="10"/>
      <c r="I41" s="10"/>
      <c r="J41" s="10"/>
    </row>
    <row r="42" spans="1:10" x14ac:dyDescent="0.35">
      <c r="A42" s="18">
        <v>1</v>
      </c>
      <c r="B42" s="18" t="s">
        <v>2</v>
      </c>
      <c r="C42" s="10">
        <v>500</v>
      </c>
      <c r="D42" s="10">
        <v>0</v>
      </c>
      <c r="E42" s="10"/>
      <c r="F42" s="10">
        <v>200</v>
      </c>
      <c r="G42" s="10"/>
      <c r="H42" s="10"/>
      <c r="I42" s="10">
        <v>50</v>
      </c>
      <c r="J42" s="10">
        <f t="shared" ref="J42:J54" si="5">SUM(C42:I42)</f>
        <v>750</v>
      </c>
    </row>
    <row r="43" spans="1:10" x14ac:dyDescent="0.35">
      <c r="A43" s="18">
        <v>2</v>
      </c>
      <c r="B43" s="18" t="s">
        <v>32</v>
      </c>
      <c r="C43" s="10">
        <v>2000</v>
      </c>
      <c r="D43" s="10">
        <v>0</v>
      </c>
      <c r="E43" s="10"/>
      <c r="F43" s="10">
        <v>200</v>
      </c>
      <c r="G43" s="10"/>
      <c r="H43" s="10"/>
      <c r="I43" s="10">
        <v>50</v>
      </c>
      <c r="J43" s="10">
        <f t="shared" si="5"/>
        <v>2250</v>
      </c>
    </row>
    <row r="44" spans="1:10" x14ac:dyDescent="0.35">
      <c r="A44" s="18">
        <v>3</v>
      </c>
      <c r="B44" s="18" t="s">
        <v>9</v>
      </c>
      <c r="C44" s="10">
        <v>500</v>
      </c>
      <c r="D44" s="45">
        <v>1150</v>
      </c>
      <c r="E44" s="45"/>
      <c r="F44" s="45">
        <v>200</v>
      </c>
      <c r="G44" s="45"/>
      <c r="H44" s="45"/>
      <c r="I44" s="45">
        <v>50</v>
      </c>
      <c r="J44" s="45">
        <f t="shared" si="5"/>
        <v>1900</v>
      </c>
    </row>
    <row r="45" spans="1:10" x14ac:dyDescent="0.35">
      <c r="A45" s="18">
        <v>4</v>
      </c>
      <c r="B45" s="18" t="s">
        <v>4</v>
      </c>
      <c r="C45" s="10">
        <v>500</v>
      </c>
      <c r="D45" s="45">
        <v>4000</v>
      </c>
      <c r="E45" s="45"/>
      <c r="F45" s="45">
        <v>200</v>
      </c>
      <c r="G45" s="45"/>
      <c r="H45" s="45"/>
      <c r="I45" s="45">
        <v>50</v>
      </c>
      <c r="J45" s="45">
        <f t="shared" si="5"/>
        <v>4750</v>
      </c>
    </row>
    <row r="46" spans="1:10" x14ac:dyDescent="0.35">
      <c r="A46" s="18">
        <v>5</v>
      </c>
      <c r="B46" s="18" t="s">
        <v>5</v>
      </c>
      <c r="C46" s="10">
        <v>500</v>
      </c>
      <c r="D46" s="45">
        <v>0</v>
      </c>
      <c r="E46" s="45">
        <v>3500</v>
      </c>
      <c r="F46" s="45">
        <v>200</v>
      </c>
      <c r="G46" s="45"/>
      <c r="H46" s="45"/>
      <c r="I46" s="45">
        <v>50</v>
      </c>
      <c r="J46" s="45">
        <f t="shared" si="5"/>
        <v>4250</v>
      </c>
    </row>
    <row r="47" spans="1:10" x14ac:dyDescent="0.35">
      <c r="A47" s="18">
        <v>6</v>
      </c>
      <c r="B47" s="18" t="s">
        <v>6</v>
      </c>
      <c r="C47" s="10">
        <v>2000</v>
      </c>
      <c r="D47" s="45">
        <v>0</v>
      </c>
      <c r="E47" s="45">
        <v>2070</v>
      </c>
      <c r="F47" s="45">
        <v>200</v>
      </c>
      <c r="G47" s="45"/>
      <c r="H47" s="45"/>
      <c r="I47" s="45">
        <v>50</v>
      </c>
      <c r="J47" s="45">
        <f t="shared" si="5"/>
        <v>4320</v>
      </c>
    </row>
    <row r="48" spans="1:10" x14ac:dyDescent="0.35">
      <c r="A48" s="18">
        <v>7</v>
      </c>
      <c r="B48" s="18" t="s">
        <v>7</v>
      </c>
      <c r="C48" s="10">
        <v>750</v>
      </c>
      <c r="D48" s="45">
        <v>0</v>
      </c>
      <c r="E48" s="45"/>
      <c r="F48" s="45">
        <v>200</v>
      </c>
      <c r="G48" s="45"/>
      <c r="H48" s="45"/>
      <c r="I48" s="45">
        <v>50</v>
      </c>
      <c r="J48" s="45">
        <f t="shared" si="5"/>
        <v>1000</v>
      </c>
    </row>
    <row r="49" spans="1:12" x14ac:dyDescent="0.35">
      <c r="A49" s="18">
        <v>8</v>
      </c>
      <c r="B49" s="18" t="s">
        <v>12</v>
      </c>
      <c r="C49" s="10">
        <v>500</v>
      </c>
      <c r="D49" s="45">
        <v>0</v>
      </c>
      <c r="E49" s="45">
        <v>2000</v>
      </c>
      <c r="F49" s="45">
        <v>200</v>
      </c>
      <c r="G49" s="45"/>
      <c r="H49" s="45"/>
      <c r="I49" s="45">
        <v>50</v>
      </c>
      <c r="J49" s="45">
        <f t="shared" si="5"/>
        <v>2750</v>
      </c>
    </row>
    <row r="50" spans="1:12" x14ac:dyDescent="0.35">
      <c r="A50" s="18">
        <v>9</v>
      </c>
      <c r="B50" s="18" t="s">
        <v>8</v>
      </c>
      <c r="C50" s="10">
        <v>10000</v>
      </c>
      <c r="D50" s="45">
        <v>0</v>
      </c>
      <c r="E50" s="45"/>
      <c r="F50" s="45">
        <v>200</v>
      </c>
      <c r="G50" s="45"/>
      <c r="H50" s="45"/>
      <c r="I50" s="45">
        <v>50</v>
      </c>
      <c r="J50" s="45">
        <f t="shared" si="5"/>
        <v>10250</v>
      </c>
    </row>
    <row r="51" spans="1:12" x14ac:dyDescent="0.35">
      <c r="A51" s="18">
        <v>10</v>
      </c>
      <c r="B51" s="18" t="s">
        <v>13</v>
      </c>
      <c r="C51" s="10">
        <v>20000</v>
      </c>
      <c r="D51" s="45">
        <v>0</v>
      </c>
      <c r="E51" s="45"/>
      <c r="F51" s="45">
        <v>100</v>
      </c>
      <c r="G51" s="45"/>
      <c r="H51" s="45"/>
      <c r="I51" s="45">
        <v>50</v>
      </c>
      <c r="J51" s="45">
        <f t="shared" si="5"/>
        <v>20150</v>
      </c>
    </row>
    <row r="52" spans="1:12" x14ac:dyDescent="0.35">
      <c r="A52" s="18">
        <v>11</v>
      </c>
      <c r="B52" s="18" t="s">
        <v>10</v>
      </c>
      <c r="C52" s="10">
        <v>7900</v>
      </c>
      <c r="D52" s="45">
        <v>0</v>
      </c>
      <c r="E52" s="45"/>
      <c r="F52" s="45">
        <v>200</v>
      </c>
      <c r="G52" s="45"/>
      <c r="H52" s="45"/>
      <c r="I52" s="45">
        <v>50</v>
      </c>
      <c r="J52" s="45">
        <f t="shared" si="5"/>
        <v>8150</v>
      </c>
    </row>
    <row r="53" spans="1:12" x14ac:dyDescent="0.35">
      <c r="A53" s="18">
        <v>12</v>
      </c>
      <c r="B53" s="18" t="s">
        <v>14</v>
      </c>
      <c r="C53" s="10">
        <v>1000</v>
      </c>
      <c r="D53" s="10">
        <v>0</v>
      </c>
      <c r="E53" s="10"/>
      <c r="F53" s="10">
        <v>200</v>
      </c>
      <c r="G53" s="10"/>
      <c r="H53" s="10"/>
      <c r="I53" s="10">
        <v>50</v>
      </c>
      <c r="J53" s="10">
        <f t="shared" si="5"/>
        <v>1250</v>
      </c>
    </row>
    <row r="54" spans="1:12" x14ac:dyDescent="0.35">
      <c r="A54" s="18">
        <v>13</v>
      </c>
      <c r="B54" s="18" t="s">
        <v>11</v>
      </c>
      <c r="C54" s="10">
        <v>600</v>
      </c>
      <c r="D54" s="10">
        <v>1075</v>
      </c>
      <c r="E54" s="10"/>
      <c r="F54" s="10">
        <v>100</v>
      </c>
      <c r="G54" s="10"/>
      <c r="H54" s="10"/>
      <c r="I54" s="10">
        <v>50</v>
      </c>
      <c r="J54" s="10">
        <f t="shared" si="5"/>
        <v>1825</v>
      </c>
    </row>
    <row r="55" spans="1:12" x14ac:dyDescent="0.35">
      <c r="A55" s="9"/>
      <c r="B55" s="9"/>
      <c r="C55" s="10"/>
      <c r="D55" s="10"/>
      <c r="E55" s="10"/>
      <c r="F55" s="10"/>
      <c r="G55" s="10"/>
      <c r="H55" s="10"/>
      <c r="I55" s="10"/>
      <c r="J55" s="10"/>
    </row>
    <row r="56" spans="1:12" ht="15" thickBot="1" x14ac:dyDescent="0.4">
      <c r="C56" s="8">
        <f>SUM(C42:C55)</f>
        <v>46750</v>
      </c>
      <c r="D56" s="8">
        <f>SUM(D42:D55)</f>
        <v>6225</v>
      </c>
      <c r="E56" s="8">
        <f>SUM(E42:E55)</f>
        <v>7570</v>
      </c>
      <c r="F56" s="8">
        <f t="shared" ref="F56" si="6">SUM(F42:F55)</f>
        <v>2400</v>
      </c>
      <c r="G56" s="8"/>
      <c r="H56" s="8"/>
      <c r="I56" s="8">
        <f t="shared" ref="I56" si="7">SUM(I42:I55)</f>
        <v>650</v>
      </c>
      <c r="J56" s="8">
        <f>SUM(J42:J55)</f>
        <v>63595</v>
      </c>
    </row>
    <row r="57" spans="1:12" ht="15" thickTop="1" x14ac:dyDescent="0.35"/>
    <row r="58" spans="1:12" x14ac:dyDescent="0.35">
      <c r="A58" s="24" t="s">
        <v>45</v>
      </c>
      <c r="B58" s="24" t="s">
        <v>79</v>
      </c>
      <c r="C58" s="23"/>
      <c r="D58" s="23"/>
      <c r="E58" s="23"/>
      <c r="F58" s="23"/>
      <c r="G58" s="23"/>
      <c r="H58" s="23"/>
      <c r="I58" s="23"/>
    </row>
    <row r="59" spans="1:12" ht="29" x14ac:dyDescent="0.35">
      <c r="A59" s="25"/>
      <c r="B59" s="25"/>
      <c r="C59" s="19" t="s">
        <v>46</v>
      </c>
      <c r="D59" s="29" t="s">
        <v>58</v>
      </c>
      <c r="E59" s="29" t="s">
        <v>59</v>
      </c>
      <c r="F59" s="29" t="s">
        <v>72</v>
      </c>
      <c r="G59" s="29"/>
      <c r="H59" s="47" t="s">
        <v>73</v>
      </c>
      <c r="I59" s="19" t="s">
        <v>40</v>
      </c>
      <c r="J59" s="19" t="s">
        <v>48</v>
      </c>
      <c r="K59" s="19" t="s">
        <v>19</v>
      </c>
    </row>
    <row r="60" spans="1:12" x14ac:dyDescent="0.35">
      <c r="A60" s="18" t="s">
        <v>1</v>
      </c>
      <c r="B60" s="18" t="s">
        <v>0</v>
      </c>
      <c r="C60" s="10"/>
      <c r="D60" s="10"/>
      <c r="E60" s="10"/>
      <c r="F60" s="10"/>
      <c r="G60" s="10"/>
      <c r="H60" s="10"/>
      <c r="I60" s="10"/>
      <c r="J60" s="10"/>
      <c r="K60" s="10"/>
    </row>
    <row r="61" spans="1:12" x14ac:dyDescent="0.35">
      <c r="A61" s="18">
        <v>1</v>
      </c>
      <c r="B61" s="18" t="s">
        <v>2</v>
      </c>
      <c r="C61" s="10">
        <v>500</v>
      </c>
      <c r="D61" s="10">
        <v>0</v>
      </c>
      <c r="E61" s="10">
        <v>0</v>
      </c>
      <c r="F61" s="10">
        <v>0</v>
      </c>
      <c r="G61" s="10"/>
      <c r="H61" s="10">
        <v>0</v>
      </c>
      <c r="I61" s="10">
        <v>100</v>
      </c>
      <c r="J61" s="10">
        <v>50</v>
      </c>
      <c r="K61" s="10">
        <f t="shared" ref="K61:K73" si="8">SUM(C61:J61)</f>
        <v>650</v>
      </c>
      <c r="L61" t="s">
        <v>71</v>
      </c>
    </row>
    <row r="62" spans="1:12" x14ac:dyDescent="0.35">
      <c r="A62" s="18">
        <v>2</v>
      </c>
      <c r="B62" s="18" t="s">
        <v>32</v>
      </c>
      <c r="C62" s="10">
        <v>2000</v>
      </c>
      <c r="D62" s="10">
        <v>0</v>
      </c>
      <c r="E62" s="10">
        <v>0</v>
      </c>
      <c r="F62" s="10">
        <v>0</v>
      </c>
      <c r="G62" s="10"/>
      <c r="H62" s="10">
        <v>0</v>
      </c>
      <c r="I62" s="10">
        <v>100</v>
      </c>
      <c r="J62" s="10">
        <v>50</v>
      </c>
      <c r="K62" s="10">
        <f t="shared" si="8"/>
        <v>2150</v>
      </c>
      <c r="L62" t="s">
        <v>71</v>
      </c>
    </row>
    <row r="63" spans="1:12" x14ac:dyDescent="0.35">
      <c r="A63" s="18">
        <v>3</v>
      </c>
      <c r="B63" s="18" t="s">
        <v>9</v>
      </c>
      <c r="C63" s="10">
        <v>500</v>
      </c>
      <c r="D63" s="45">
        <v>1150</v>
      </c>
      <c r="E63" s="45">
        <v>0</v>
      </c>
      <c r="F63" s="45">
        <v>0</v>
      </c>
      <c r="G63" s="45"/>
      <c r="H63" s="45">
        <v>0</v>
      </c>
      <c r="I63" s="45">
        <v>100</v>
      </c>
      <c r="J63" s="45">
        <v>50</v>
      </c>
      <c r="K63" s="45">
        <f t="shared" si="8"/>
        <v>1800</v>
      </c>
      <c r="L63" t="s">
        <v>71</v>
      </c>
    </row>
    <row r="64" spans="1:12" x14ac:dyDescent="0.35">
      <c r="A64" s="18">
        <v>4</v>
      </c>
      <c r="B64" s="18" t="s">
        <v>4</v>
      </c>
      <c r="C64" s="10">
        <v>500</v>
      </c>
      <c r="D64" s="45">
        <v>5500</v>
      </c>
      <c r="E64" s="45">
        <v>0</v>
      </c>
      <c r="F64" s="45">
        <v>1000</v>
      </c>
      <c r="G64" s="45"/>
      <c r="H64" s="45">
        <v>0</v>
      </c>
      <c r="I64" s="45">
        <v>100</v>
      </c>
      <c r="J64" s="45">
        <v>50</v>
      </c>
      <c r="K64" s="45">
        <f t="shared" si="8"/>
        <v>7150</v>
      </c>
      <c r="L64" t="s">
        <v>71</v>
      </c>
    </row>
    <row r="65" spans="1:12" x14ac:dyDescent="0.35">
      <c r="A65" s="18">
        <v>5</v>
      </c>
      <c r="B65" s="18" t="s">
        <v>5</v>
      </c>
      <c r="C65" s="10">
        <v>500</v>
      </c>
      <c r="D65" s="45">
        <v>0</v>
      </c>
      <c r="E65" s="45">
        <v>3500</v>
      </c>
      <c r="F65" s="45">
        <v>0</v>
      </c>
      <c r="G65" s="45"/>
      <c r="H65" s="45">
        <v>0</v>
      </c>
      <c r="I65" s="45">
        <v>0</v>
      </c>
      <c r="J65" s="45">
        <v>50</v>
      </c>
      <c r="K65" s="45">
        <f t="shared" si="8"/>
        <v>4050</v>
      </c>
      <c r="L65" t="s">
        <v>71</v>
      </c>
    </row>
    <row r="66" spans="1:12" x14ac:dyDescent="0.35">
      <c r="A66" s="18">
        <v>6</v>
      </c>
      <c r="B66" s="18" t="s">
        <v>6</v>
      </c>
      <c r="C66" s="10">
        <v>1000</v>
      </c>
      <c r="D66" s="45">
        <v>0</v>
      </c>
      <c r="E66" s="45">
        <v>0</v>
      </c>
      <c r="F66" s="45">
        <v>0</v>
      </c>
      <c r="G66" s="45"/>
      <c r="H66" s="45">
        <v>0</v>
      </c>
      <c r="I66" s="45">
        <v>100</v>
      </c>
      <c r="J66" s="45">
        <v>50</v>
      </c>
      <c r="K66" s="45">
        <f t="shared" si="8"/>
        <v>1150</v>
      </c>
      <c r="L66" t="s">
        <v>71</v>
      </c>
    </row>
    <row r="67" spans="1:12" x14ac:dyDescent="0.35">
      <c r="A67" s="18">
        <v>7</v>
      </c>
      <c r="B67" s="18" t="s">
        <v>7</v>
      </c>
      <c r="C67" s="10">
        <v>550</v>
      </c>
      <c r="D67" s="45"/>
      <c r="E67" s="45"/>
      <c r="F67" s="45"/>
      <c r="G67" s="45"/>
      <c r="H67" s="45">
        <v>300</v>
      </c>
      <c r="I67" s="45">
        <v>100</v>
      </c>
      <c r="J67" s="45">
        <v>50</v>
      </c>
      <c r="K67" s="45">
        <f t="shared" si="8"/>
        <v>1000</v>
      </c>
      <c r="L67" t="s">
        <v>71</v>
      </c>
    </row>
    <row r="68" spans="1:12" x14ac:dyDescent="0.35">
      <c r="A68" s="18">
        <v>8</v>
      </c>
      <c r="B68" s="18" t="s">
        <v>12</v>
      </c>
      <c r="C68" s="10">
        <v>550</v>
      </c>
      <c r="D68" s="45">
        <v>0</v>
      </c>
      <c r="E68" s="45">
        <v>2300</v>
      </c>
      <c r="F68" s="45">
        <v>0</v>
      </c>
      <c r="G68" s="45"/>
      <c r="H68" s="45">
        <v>0</v>
      </c>
      <c r="I68" s="45">
        <v>100</v>
      </c>
      <c r="J68" s="45">
        <v>50</v>
      </c>
      <c r="K68" s="45">
        <f t="shared" si="8"/>
        <v>3000</v>
      </c>
      <c r="L68" t="s">
        <v>71</v>
      </c>
    </row>
    <row r="69" spans="1:12" x14ac:dyDescent="0.35">
      <c r="A69" s="18">
        <v>9</v>
      </c>
      <c r="B69" s="18" t="s">
        <v>8</v>
      </c>
      <c r="C69" s="10">
        <v>1000</v>
      </c>
      <c r="D69" s="45"/>
      <c r="E69" s="45"/>
      <c r="F69" s="45">
        <v>2750</v>
      </c>
      <c r="G69" s="45"/>
      <c r="H69" s="45">
        <v>0</v>
      </c>
      <c r="I69" s="45">
        <v>100</v>
      </c>
      <c r="J69" s="45">
        <v>50</v>
      </c>
      <c r="K69" s="45">
        <f t="shared" si="8"/>
        <v>3900</v>
      </c>
      <c r="L69" t="s">
        <v>71</v>
      </c>
    </row>
    <row r="70" spans="1:12" x14ac:dyDescent="0.35">
      <c r="A70" s="18">
        <v>10</v>
      </c>
      <c r="B70" s="18" t="s">
        <v>13</v>
      </c>
      <c r="C70" s="10">
        <v>500</v>
      </c>
      <c r="D70" s="45"/>
      <c r="E70" s="45"/>
      <c r="F70" s="45"/>
      <c r="G70" s="45"/>
      <c r="H70" s="45">
        <v>0</v>
      </c>
      <c r="I70" s="45">
        <v>100</v>
      </c>
      <c r="J70" s="45">
        <v>50</v>
      </c>
      <c r="K70" s="45">
        <f t="shared" si="8"/>
        <v>650</v>
      </c>
      <c r="L70" t="s">
        <v>71</v>
      </c>
    </row>
    <row r="71" spans="1:12" x14ac:dyDescent="0.35">
      <c r="A71" s="18">
        <v>11</v>
      </c>
      <c r="B71" s="18" t="s">
        <v>10</v>
      </c>
      <c r="C71" s="10">
        <v>4800</v>
      </c>
      <c r="D71" s="45"/>
      <c r="E71" s="45"/>
      <c r="F71" s="45"/>
      <c r="G71" s="45"/>
      <c r="H71" s="45">
        <v>300</v>
      </c>
      <c r="I71" s="45">
        <v>100</v>
      </c>
      <c r="J71" s="45">
        <v>50</v>
      </c>
      <c r="K71" s="45">
        <f t="shared" si="8"/>
        <v>5250</v>
      </c>
      <c r="L71" t="s">
        <v>71</v>
      </c>
    </row>
    <row r="72" spans="1:12" x14ac:dyDescent="0.35">
      <c r="A72" s="18">
        <v>12</v>
      </c>
      <c r="B72" s="18" t="s">
        <v>14</v>
      </c>
      <c r="C72" s="10">
        <v>1000</v>
      </c>
      <c r="D72" s="10">
        <v>0</v>
      </c>
      <c r="E72" s="10">
        <v>0</v>
      </c>
      <c r="F72" s="10">
        <v>0</v>
      </c>
      <c r="G72" s="10"/>
      <c r="H72" s="10">
        <v>0</v>
      </c>
      <c r="I72" s="10">
        <v>100</v>
      </c>
      <c r="J72" s="10">
        <v>50</v>
      </c>
      <c r="K72" s="10">
        <f t="shared" si="8"/>
        <v>1150</v>
      </c>
      <c r="L72" t="s">
        <v>71</v>
      </c>
    </row>
    <row r="73" spans="1:12" x14ac:dyDescent="0.35">
      <c r="A73" s="18">
        <v>13</v>
      </c>
      <c r="B73" s="18" t="s">
        <v>11</v>
      </c>
      <c r="C73" s="10">
        <v>800</v>
      </c>
      <c r="D73" s="10">
        <v>0</v>
      </c>
      <c r="E73" s="10">
        <v>0</v>
      </c>
      <c r="F73" s="10">
        <v>0</v>
      </c>
      <c r="G73" s="10"/>
      <c r="H73" s="10">
        <v>0</v>
      </c>
      <c r="I73" s="10">
        <v>100</v>
      </c>
      <c r="J73" s="10">
        <v>50</v>
      </c>
      <c r="K73" s="10">
        <f t="shared" si="8"/>
        <v>950</v>
      </c>
      <c r="L73" t="s">
        <v>71</v>
      </c>
    </row>
    <row r="74" spans="1:12" x14ac:dyDescent="0.35">
      <c r="A74" s="9"/>
      <c r="B74" s="9"/>
      <c r="C74" s="10"/>
      <c r="D74" s="10"/>
      <c r="E74" s="10"/>
      <c r="F74" s="10"/>
      <c r="G74" s="10"/>
      <c r="H74" s="10"/>
      <c r="I74" s="10"/>
      <c r="J74" s="10"/>
      <c r="K74" s="10"/>
    </row>
    <row r="75" spans="1:12" ht="15" thickBot="1" x14ac:dyDescent="0.4">
      <c r="C75" s="8">
        <f>SUM(C61:C74)</f>
        <v>14200</v>
      </c>
      <c r="D75" s="8">
        <f>SUM(D61:D74)</f>
        <v>6650</v>
      </c>
      <c r="E75" s="8">
        <f>SUM(E61:E74)</f>
        <v>5800</v>
      </c>
      <c r="F75" s="8">
        <f>SUM(F61:F74)</f>
        <v>3750</v>
      </c>
      <c r="G75" s="8"/>
      <c r="H75" s="8">
        <f>SUM(H61:H74)</f>
        <v>600</v>
      </c>
      <c r="I75" s="8">
        <f t="shared" ref="I75:J75" si="9">SUM(I61:I74)</f>
        <v>1200</v>
      </c>
      <c r="J75" s="8">
        <f t="shared" si="9"/>
        <v>650</v>
      </c>
      <c r="K75" s="8">
        <f>SUM(K61:K74)</f>
        <v>32850</v>
      </c>
    </row>
    <row r="76" spans="1:12" ht="15" thickTop="1" x14ac:dyDescent="0.35">
      <c r="I76" s="1"/>
    </row>
    <row r="77" spans="1:12" x14ac:dyDescent="0.35">
      <c r="A77" s="24" t="s">
        <v>45</v>
      </c>
      <c r="B77" s="24" t="s">
        <v>88</v>
      </c>
      <c r="C77" s="23"/>
      <c r="D77" s="23"/>
      <c r="E77" s="23"/>
      <c r="F77" s="23"/>
      <c r="G77" s="23"/>
      <c r="H77" s="23"/>
      <c r="I77" s="23"/>
    </row>
    <row r="78" spans="1:12" ht="29" x14ac:dyDescent="0.35">
      <c r="A78" s="25"/>
      <c r="B78" s="25"/>
      <c r="C78" s="19" t="s">
        <v>46</v>
      </c>
      <c r="D78" s="29" t="s">
        <v>58</v>
      </c>
      <c r="E78" s="29" t="s">
        <v>59</v>
      </c>
      <c r="F78" s="29" t="s">
        <v>72</v>
      </c>
      <c r="G78" s="29" t="s">
        <v>84</v>
      </c>
      <c r="H78" s="47" t="s">
        <v>73</v>
      </c>
      <c r="I78" s="19" t="s">
        <v>40</v>
      </c>
      <c r="J78" s="19" t="s">
        <v>48</v>
      </c>
      <c r="K78" s="19" t="s">
        <v>19</v>
      </c>
    </row>
    <row r="79" spans="1:12" x14ac:dyDescent="0.35">
      <c r="A79" s="18" t="s">
        <v>1</v>
      </c>
      <c r="B79" s="18" t="s">
        <v>0</v>
      </c>
      <c r="C79" s="10"/>
      <c r="D79" s="10"/>
      <c r="E79" s="10"/>
      <c r="F79" s="10"/>
      <c r="G79" s="10"/>
      <c r="H79" s="10"/>
      <c r="I79" s="10"/>
      <c r="J79" s="10"/>
      <c r="K79" s="10"/>
    </row>
    <row r="80" spans="1:12" x14ac:dyDescent="0.35">
      <c r="A80" s="18">
        <v>1</v>
      </c>
      <c r="B80" s="18" t="s">
        <v>2</v>
      </c>
      <c r="C80" s="10">
        <v>850</v>
      </c>
      <c r="D80" s="10"/>
      <c r="E80" s="10"/>
      <c r="F80" s="10"/>
      <c r="G80" s="10"/>
      <c r="H80" s="10"/>
      <c r="I80" s="10">
        <v>100</v>
      </c>
      <c r="J80" s="10">
        <v>50</v>
      </c>
      <c r="K80" s="10">
        <f t="shared" ref="K80:K92" si="10">SUM(C80:J80)</f>
        <v>1000</v>
      </c>
    </row>
    <row r="81" spans="1:12" x14ac:dyDescent="0.35">
      <c r="A81" s="18">
        <v>2</v>
      </c>
      <c r="B81" s="18" t="s">
        <v>32</v>
      </c>
      <c r="C81" s="10">
        <v>3000</v>
      </c>
      <c r="D81" s="10"/>
      <c r="E81" s="10"/>
      <c r="F81" s="10"/>
      <c r="G81" s="10">
        <v>2000</v>
      </c>
      <c r="H81" s="10"/>
      <c r="I81" s="10">
        <v>100</v>
      </c>
      <c r="J81" s="10">
        <v>50</v>
      </c>
      <c r="K81" s="10">
        <f t="shared" si="10"/>
        <v>5150</v>
      </c>
    </row>
    <row r="82" spans="1:12" x14ac:dyDescent="0.35">
      <c r="A82" s="18">
        <v>3</v>
      </c>
      <c r="B82" s="18" t="s">
        <v>9</v>
      </c>
      <c r="C82" s="10">
        <f>500+13000</f>
        <v>13500</v>
      </c>
      <c r="D82" s="45">
        <v>7600</v>
      </c>
      <c r="E82" s="45"/>
      <c r="F82" s="45"/>
      <c r="G82" s="45">
        <v>0</v>
      </c>
      <c r="H82" s="45"/>
      <c r="I82" s="45">
        <v>100</v>
      </c>
      <c r="J82" s="45">
        <v>50</v>
      </c>
      <c r="K82" s="45">
        <f t="shared" si="10"/>
        <v>21250</v>
      </c>
    </row>
    <row r="83" spans="1:12" x14ac:dyDescent="0.35">
      <c r="A83" s="18">
        <v>4</v>
      </c>
      <c r="B83" s="18" t="s">
        <v>4</v>
      </c>
      <c r="C83" s="10">
        <v>500</v>
      </c>
      <c r="D83" s="45">
        <v>4600</v>
      </c>
      <c r="E83" s="45"/>
      <c r="F83" s="45"/>
      <c r="G83" s="45">
        <v>0</v>
      </c>
      <c r="H83" s="45"/>
      <c r="I83" s="45">
        <v>100</v>
      </c>
      <c r="J83" s="45">
        <v>50</v>
      </c>
      <c r="K83" s="45">
        <f t="shared" si="10"/>
        <v>5250</v>
      </c>
    </row>
    <row r="84" spans="1:12" x14ac:dyDescent="0.35">
      <c r="A84" s="18">
        <v>5</v>
      </c>
      <c r="B84" s="18" t="s">
        <v>5</v>
      </c>
      <c r="C84" s="10">
        <v>500</v>
      </c>
      <c r="D84" s="45"/>
      <c r="E84" s="45">
        <v>3500</v>
      </c>
      <c r="F84" s="45"/>
      <c r="G84" s="45">
        <v>0</v>
      </c>
      <c r="H84" s="45"/>
      <c r="I84" s="45">
        <v>100</v>
      </c>
      <c r="J84" s="45">
        <v>50</v>
      </c>
      <c r="K84" s="45">
        <f t="shared" si="10"/>
        <v>4150</v>
      </c>
    </row>
    <row r="85" spans="1:12" x14ac:dyDescent="0.35">
      <c r="A85" s="18">
        <v>6</v>
      </c>
      <c r="B85" s="18" t="s">
        <v>6</v>
      </c>
      <c r="C85" s="10">
        <v>2000</v>
      </c>
      <c r="D85" s="45"/>
      <c r="E85" s="45"/>
      <c r="F85" s="45"/>
      <c r="G85" s="45"/>
      <c r="H85" s="45"/>
      <c r="I85" s="45">
        <v>100</v>
      </c>
      <c r="J85" s="45">
        <v>50</v>
      </c>
      <c r="K85" s="45">
        <f t="shared" si="10"/>
        <v>2150</v>
      </c>
    </row>
    <row r="86" spans="1:12" x14ac:dyDescent="0.35">
      <c r="A86" s="18">
        <v>7</v>
      </c>
      <c r="B86" s="18" t="s">
        <v>7</v>
      </c>
      <c r="C86" s="10">
        <v>850</v>
      </c>
      <c r="D86" s="45"/>
      <c r="E86" s="45"/>
      <c r="F86" s="45"/>
      <c r="G86" s="45"/>
      <c r="H86" s="45"/>
      <c r="I86" s="45">
        <v>100</v>
      </c>
      <c r="J86" s="45">
        <v>50</v>
      </c>
      <c r="K86" s="45">
        <f t="shared" si="10"/>
        <v>1000</v>
      </c>
    </row>
    <row r="87" spans="1:12" x14ac:dyDescent="0.35">
      <c r="A87" s="18">
        <v>8</v>
      </c>
      <c r="B87" s="18" t="s">
        <v>12</v>
      </c>
      <c r="C87" s="10">
        <v>500</v>
      </c>
      <c r="D87" s="45"/>
      <c r="E87" s="45">
        <v>2300</v>
      </c>
      <c r="F87" s="45"/>
      <c r="G87" s="45">
        <v>0</v>
      </c>
      <c r="H87" s="45"/>
      <c r="I87" s="45">
        <v>100</v>
      </c>
      <c r="J87" s="45">
        <v>50</v>
      </c>
      <c r="K87" s="45">
        <f t="shared" si="10"/>
        <v>2950</v>
      </c>
    </row>
    <row r="88" spans="1:12" x14ac:dyDescent="0.35">
      <c r="A88" s="18">
        <v>9</v>
      </c>
      <c r="B88" s="18" t="s">
        <v>8</v>
      </c>
      <c r="C88" s="10">
        <v>1000</v>
      </c>
      <c r="D88" s="45"/>
      <c r="E88" s="45"/>
      <c r="F88" s="45">
        <v>2850</v>
      </c>
      <c r="G88" s="45">
        <v>0</v>
      </c>
      <c r="H88" s="45"/>
      <c r="I88" s="45">
        <v>100</v>
      </c>
      <c r="J88" s="45">
        <v>50</v>
      </c>
      <c r="K88" s="45">
        <f t="shared" si="10"/>
        <v>4000</v>
      </c>
    </row>
    <row r="89" spans="1:12" x14ac:dyDescent="0.35">
      <c r="A89" s="18">
        <v>10</v>
      </c>
      <c r="B89" s="18" t="s">
        <v>13</v>
      </c>
      <c r="C89" s="10">
        <v>500</v>
      </c>
      <c r="D89" s="45"/>
      <c r="E89" s="45"/>
      <c r="F89" s="45"/>
      <c r="G89" s="45">
        <v>5000</v>
      </c>
      <c r="H89" s="45"/>
      <c r="I89" s="45">
        <v>100</v>
      </c>
      <c r="J89" s="45">
        <v>50</v>
      </c>
      <c r="K89" s="45">
        <f t="shared" si="10"/>
        <v>5650</v>
      </c>
    </row>
    <row r="90" spans="1:12" x14ac:dyDescent="0.35">
      <c r="A90" s="18">
        <v>11</v>
      </c>
      <c r="B90" s="18" t="s">
        <v>10</v>
      </c>
      <c r="C90" s="10">
        <v>5100</v>
      </c>
      <c r="D90" s="45"/>
      <c r="E90" s="45"/>
      <c r="F90" s="45"/>
      <c r="G90" s="45"/>
      <c r="H90" s="45"/>
      <c r="I90" s="45">
        <v>100</v>
      </c>
      <c r="J90" s="45">
        <v>50</v>
      </c>
      <c r="K90" s="45">
        <f t="shared" si="10"/>
        <v>5250</v>
      </c>
    </row>
    <row r="91" spans="1:12" x14ac:dyDescent="0.35">
      <c r="A91" s="18">
        <v>12</v>
      </c>
      <c r="B91" s="18" t="s">
        <v>14</v>
      </c>
      <c r="C91" s="10">
        <v>1200</v>
      </c>
      <c r="D91" s="10"/>
      <c r="E91" s="10"/>
      <c r="F91" s="10"/>
      <c r="G91" s="10">
        <v>1150</v>
      </c>
      <c r="H91" s="10"/>
      <c r="I91" s="10">
        <v>0</v>
      </c>
      <c r="J91" s="10">
        <v>50</v>
      </c>
      <c r="K91" s="10">
        <f t="shared" si="10"/>
        <v>2400</v>
      </c>
    </row>
    <row r="92" spans="1:12" x14ac:dyDescent="0.35">
      <c r="A92" s="18">
        <v>13</v>
      </c>
      <c r="B92" s="18" t="s">
        <v>11</v>
      </c>
      <c r="C92" s="10">
        <v>600</v>
      </c>
      <c r="D92" s="10"/>
      <c r="E92" s="10"/>
      <c r="F92" s="10"/>
      <c r="G92" s="10"/>
      <c r="H92" s="10"/>
      <c r="I92" s="10">
        <v>100</v>
      </c>
      <c r="J92" s="10">
        <v>50</v>
      </c>
      <c r="K92" s="10">
        <f t="shared" si="10"/>
        <v>750</v>
      </c>
    </row>
    <row r="93" spans="1:12" x14ac:dyDescent="0.35">
      <c r="A93" s="9"/>
      <c r="B93" s="9"/>
      <c r="C93" s="10"/>
      <c r="D93" s="10"/>
      <c r="E93" s="10"/>
      <c r="F93" s="10"/>
      <c r="G93" s="10"/>
      <c r="H93" s="10"/>
      <c r="I93" s="10"/>
      <c r="J93" s="10"/>
      <c r="K93" s="10"/>
    </row>
    <row r="94" spans="1:12" ht="15" thickBot="1" x14ac:dyDescent="0.4">
      <c r="C94" s="8">
        <f t="shared" ref="C94:H94" si="11">SUM(C80:C93)</f>
        <v>30100</v>
      </c>
      <c r="D94" s="8">
        <f t="shared" si="11"/>
        <v>12200</v>
      </c>
      <c r="E94" s="8">
        <f t="shared" si="11"/>
        <v>5800</v>
      </c>
      <c r="F94" s="8">
        <f t="shared" si="11"/>
        <v>2850</v>
      </c>
      <c r="G94" s="8">
        <f t="shared" si="11"/>
        <v>8150</v>
      </c>
      <c r="H94" s="8">
        <f t="shared" si="11"/>
        <v>0</v>
      </c>
      <c r="I94" s="8">
        <f t="shared" ref="I94:J94" si="12">SUM(I80:I93)</f>
        <v>1200</v>
      </c>
      <c r="J94" s="8">
        <f t="shared" si="12"/>
        <v>650</v>
      </c>
      <c r="K94" s="8">
        <f>SUM(K80:K93)</f>
        <v>60950</v>
      </c>
    </row>
    <row r="95" spans="1:12" ht="15" thickTop="1" x14ac:dyDescent="0.35">
      <c r="A95" s="24" t="s">
        <v>45</v>
      </c>
      <c r="B95" s="24" t="s">
        <v>90</v>
      </c>
      <c r="C95" s="23"/>
      <c r="D95" s="23"/>
      <c r="E95" s="23"/>
      <c r="F95" s="23"/>
      <c r="G95" s="23"/>
      <c r="H95" s="23"/>
      <c r="I95" s="23"/>
    </row>
    <row r="96" spans="1:12" ht="29" x14ac:dyDescent="0.35">
      <c r="A96" s="25"/>
      <c r="B96" s="25"/>
      <c r="C96" s="19" t="s">
        <v>46</v>
      </c>
      <c r="D96" s="29" t="s">
        <v>58</v>
      </c>
      <c r="E96" s="29" t="s">
        <v>59</v>
      </c>
      <c r="F96" s="29" t="s">
        <v>72</v>
      </c>
      <c r="G96" s="29" t="s">
        <v>84</v>
      </c>
      <c r="H96" s="29" t="s">
        <v>89</v>
      </c>
      <c r="I96" s="47" t="s">
        <v>73</v>
      </c>
      <c r="J96" s="19" t="s">
        <v>40</v>
      </c>
      <c r="K96" s="19" t="s">
        <v>48</v>
      </c>
      <c r="L96" s="19" t="s">
        <v>19</v>
      </c>
    </row>
    <row r="97" spans="1:12" x14ac:dyDescent="0.35">
      <c r="A97" s="18" t="s">
        <v>1</v>
      </c>
      <c r="B97" s="18" t="s">
        <v>0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</row>
    <row r="98" spans="1:12" x14ac:dyDescent="0.35">
      <c r="A98" s="18">
        <v>1</v>
      </c>
      <c r="B98" s="18" t="s">
        <v>2</v>
      </c>
      <c r="C98" s="10">
        <v>500</v>
      </c>
      <c r="D98" s="10"/>
      <c r="E98" s="10"/>
      <c r="F98" s="10"/>
      <c r="G98" s="10"/>
      <c r="H98" s="10"/>
      <c r="I98" s="10"/>
      <c r="J98" s="10">
        <v>100</v>
      </c>
      <c r="K98" s="10">
        <v>50</v>
      </c>
      <c r="L98" s="10">
        <f t="shared" ref="L98:L110" si="13">SUM(C98:K98)</f>
        <v>650</v>
      </c>
    </row>
    <row r="99" spans="1:12" x14ac:dyDescent="0.35">
      <c r="A99" s="18">
        <v>2</v>
      </c>
      <c r="B99" s="18" t="s">
        <v>32</v>
      </c>
      <c r="C99" s="10">
        <v>3000</v>
      </c>
      <c r="D99" s="10"/>
      <c r="E99" s="10"/>
      <c r="F99" s="10"/>
      <c r="G99" s="10">
        <v>2950</v>
      </c>
      <c r="H99" s="10"/>
      <c r="I99" s="10"/>
      <c r="J99" s="10">
        <v>0</v>
      </c>
      <c r="K99" s="10">
        <v>50</v>
      </c>
      <c r="L99" s="10">
        <f t="shared" si="13"/>
        <v>6000</v>
      </c>
    </row>
    <row r="100" spans="1:12" x14ac:dyDescent="0.35">
      <c r="A100" s="18">
        <v>3</v>
      </c>
      <c r="B100" s="18" t="s">
        <v>9</v>
      </c>
      <c r="C100" s="10">
        <v>500</v>
      </c>
      <c r="D100" s="45">
        <v>0</v>
      </c>
      <c r="E100" s="45"/>
      <c r="F100" s="45"/>
      <c r="G100" s="45"/>
      <c r="H100" s="45">
        <v>4600</v>
      </c>
      <c r="I100" s="45"/>
      <c r="J100" s="45">
        <v>100</v>
      </c>
      <c r="K100" s="45">
        <v>50</v>
      </c>
      <c r="L100" s="45">
        <f t="shared" si="13"/>
        <v>5250</v>
      </c>
    </row>
    <row r="101" spans="1:12" x14ac:dyDescent="0.35">
      <c r="A101" s="18">
        <v>4</v>
      </c>
      <c r="B101" s="18" t="s">
        <v>4</v>
      </c>
      <c r="C101" s="10">
        <v>3000</v>
      </c>
      <c r="D101" s="45">
        <v>27900</v>
      </c>
      <c r="E101" s="45"/>
      <c r="F101" s="45">
        <v>5376.75</v>
      </c>
      <c r="G101" s="45"/>
      <c r="H101" s="45"/>
      <c r="I101" s="45"/>
      <c r="J101" s="45">
        <v>100</v>
      </c>
      <c r="K101" s="45">
        <v>50</v>
      </c>
      <c r="L101" s="45">
        <f t="shared" si="13"/>
        <v>36426.75</v>
      </c>
    </row>
    <row r="102" spans="1:12" x14ac:dyDescent="0.35">
      <c r="A102" s="18">
        <v>5</v>
      </c>
      <c r="B102" s="18" t="s">
        <v>5</v>
      </c>
      <c r="C102" s="10">
        <v>500</v>
      </c>
      <c r="D102" s="45"/>
      <c r="E102" s="45">
        <v>3500</v>
      </c>
      <c r="F102" s="45"/>
      <c r="G102" s="45"/>
      <c r="H102" s="45"/>
      <c r="I102" s="45"/>
      <c r="J102" s="45">
        <v>100</v>
      </c>
      <c r="K102" s="45">
        <v>50</v>
      </c>
      <c r="L102" s="45">
        <f t="shared" si="13"/>
        <v>4150</v>
      </c>
    </row>
    <row r="103" spans="1:12" x14ac:dyDescent="0.35">
      <c r="A103" s="18">
        <v>6</v>
      </c>
      <c r="B103" s="18" t="s">
        <v>6</v>
      </c>
      <c r="C103" s="10">
        <v>500</v>
      </c>
      <c r="D103" s="45"/>
      <c r="E103" s="45"/>
      <c r="F103" s="45"/>
      <c r="G103" s="45"/>
      <c r="H103" s="45">
        <v>2100</v>
      </c>
      <c r="I103" s="45"/>
      <c r="J103" s="45">
        <v>100</v>
      </c>
      <c r="K103" s="45">
        <v>50</v>
      </c>
      <c r="L103" s="45">
        <f t="shared" si="13"/>
        <v>2750</v>
      </c>
    </row>
    <row r="104" spans="1:12" x14ac:dyDescent="0.35">
      <c r="A104" s="18">
        <v>7</v>
      </c>
      <c r="B104" s="18" t="s">
        <v>7</v>
      </c>
      <c r="C104" s="10">
        <v>500</v>
      </c>
      <c r="D104" s="45"/>
      <c r="E104" s="45"/>
      <c r="F104" s="45"/>
      <c r="G104" s="45"/>
      <c r="H104" s="45"/>
      <c r="I104" s="45"/>
      <c r="J104" s="45">
        <v>100</v>
      </c>
      <c r="K104" s="45">
        <v>50</v>
      </c>
      <c r="L104" s="45">
        <f t="shared" si="13"/>
        <v>650</v>
      </c>
    </row>
    <row r="105" spans="1:12" x14ac:dyDescent="0.35">
      <c r="A105" s="18">
        <v>8</v>
      </c>
      <c r="B105" s="18" t="s">
        <v>12</v>
      </c>
      <c r="C105" s="10">
        <v>550</v>
      </c>
      <c r="D105" s="45"/>
      <c r="E105" s="45">
        <v>2300</v>
      </c>
      <c r="F105" s="45"/>
      <c r="G105" s="45">
        <v>0</v>
      </c>
      <c r="H105" s="45"/>
      <c r="I105" s="45"/>
      <c r="J105" s="45">
        <v>100</v>
      </c>
      <c r="K105" s="45">
        <v>50</v>
      </c>
      <c r="L105" s="45">
        <f t="shared" si="13"/>
        <v>3000</v>
      </c>
    </row>
    <row r="106" spans="1:12" x14ac:dyDescent="0.35">
      <c r="A106" s="18">
        <v>9</v>
      </c>
      <c r="B106" s="18" t="s">
        <v>8</v>
      </c>
      <c r="C106" s="10">
        <v>2850</v>
      </c>
      <c r="D106" s="45"/>
      <c r="E106" s="45"/>
      <c r="F106" s="45">
        <v>5000</v>
      </c>
      <c r="G106" s="45">
        <v>0</v>
      </c>
      <c r="H106" s="45"/>
      <c r="I106" s="45"/>
      <c r="J106" s="45">
        <v>100</v>
      </c>
      <c r="K106" s="45">
        <v>50</v>
      </c>
      <c r="L106" s="45">
        <f t="shared" si="13"/>
        <v>8000</v>
      </c>
    </row>
    <row r="107" spans="1:12" x14ac:dyDescent="0.35">
      <c r="A107" s="18">
        <v>10</v>
      </c>
      <c r="B107" s="18" t="s">
        <v>13</v>
      </c>
      <c r="C107" s="10">
        <v>500</v>
      </c>
      <c r="D107" s="45"/>
      <c r="E107" s="45"/>
      <c r="F107" s="45"/>
      <c r="G107" s="45">
        <v>5350</v>
      </c>
      <c r="H107" s="45"/>
      <c r="I107" s="45"/>
      <c r="J107" s="45">
        <v>100</v>
      </c>
      <c r="K107" s="45">
        <v>50</v>
      </c>
      <c r="L107" s="45">
        <f t="shared" si="13"/>
        <v>6000</v>
      </c>
    </row>
    <row r="108" spans="1:12" x14ac:dyDescent="0.35">
      <c r="A108" s="18">
        <v>11</v>
      </c>
      <c r="B108" s="18" t="s">
        <v>10</v>
      </c>
      <c r="C108" s="10">
        <v>5100</v>
      </c>
      <c r="D108" s="45"/>
      <c r="E108" s="45"/>
      <c r="F108" s="45"/>
      <c r="G108" s="45"/>
      <c r="H108" s="45"/>
      <c r="I108" s="45"/>
      <c r="J108" s="45">
        <v>100</v>
      </c>
      <c r="K108" s="45">
        <v>50</v>
      </c>
      <c r="L108" s="45">
        <f t="shared" si="13"/>
        <v>5250</v>
      </c>
    </row>
    <row r="109" spans="1:12" x14ac:dyDescent="0.35">
      <c r="A109" s="18">
        <v>12</v>
      </c>
      <c r="B109" s="18" t="s">
        <v>14</v>
      </c>
      <c r="C109" s="10">
        <v>500</v>
      </c>
      <c r="D109" s="10"/>
      <c r="E109" s="10"/>
      <c r="F109" s="10"/>
      <c r="G109" s="10">
        <v>1150</v>
      </c>
      <c r="H109" s="10"/>
      <c r="I109" s="10"/>
      <c r="J109" s="10">
        <v>100</v>
      </c>
      <c r="K109" s="10">
        <v>50</v>
      </c>
      <c r="L109" s="10">
        <f t="shared" si="13"/>
        <v>1800</v>
      </c>
    </row>
    <row r="110" spans="1:12" x14ac:dyDescent="0.35">
      <c r="A110" s="18">
        <v>13</v>
      </c>
      <c r="B110" s="18" t="s">
        <v>11</v>
      </c>
      <c r="C110" s="10">
        <v>700</v>
      </c>
      <c r="D110" s="10"/>
      <c r="E110" s="10"/>
      <c r="F110" s="10"/>
      <c r="G110" s="10"/>
      <c r="H110" s="10"/>
      <c r="I110" s="10"/>
      <c r="J110" s="10">
        <v>100</v>
      </c>
      <c r="K110" s="10">
        <v>50</v>
      </c>
      <c r="L110" s="10">
        <f t="shared" si="13"/>
        <v>850</v>
      </c>
    </row>
    <row r="111" spans="1:12" x14ac:dyDescent="0.35">
      <c r="A111" s="9"/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thickBot="1" x14ac:dyDescent="0.4">
      <c r="C112" s="8">
        <f t="shared" ref="C112:K112" si="14">SUM(C98:C111)</f>
        <v>18700</v>
      </c>
      <c r="D112" s="8">
        <f t="shared" si="14"/>
        <v>27900</v>
      </c>
      <c r="E112" s="8">
        <f t="shared" si="14"/>
        <v>5800</v>
      </c>
      <c r="F112" s="8">
        <f t="shared" si="14"/>
        <v>10376.75</v>
      </c>
      <c r="G112" s="8">
        <f t="shared" si="14"/>
        <v>9450</v>
      </c>
      <c r="H112" s="8">
        <f t="shared" si="14"/>
        <v>6700</v>
      </c>
      <c r="I112" s="8">
        <f t="shared" si="14"/>
        <v>0</v>
      </c>
      <c r="J112" s="8">
        <f t="shared" si="14"/>
        <v>1200</v>
      </c>
      <c r="K112" s="8">
        <f t="shared" si="14"/>
        <v>650</v>
      </c>
      <c r="L112" s="8">
        <f>SUM(L98:L111)</f>
        <v>80776.75</v>
      </c>
    </row>
    <row r="113" spans="1:12" ht="15" thickTop="1" x14ac:dyDescent="0.35">
      <c r="I113" s="1"/>
    </row>
    <row r="115" spans="1:12" x14ac:dyDescent="0.35">
      <c r="A115" s="24" t="s">
        <v>45</v>
      </c>
      <c r="B115" s="24" t="s">
        <v>98</v>
      </c>
      <c r="C115" s="23"/>
      <c r="D115" s="23"/>
      <c r="E115" s="23"/>
      <c r="F115" s="23"/>
      <c r="G115" s="23"/>
      <c r="H115" s="23"/>
      <c r="I115" s="23"/>
    </row>
    <row r="116" spans="1:12" ht="38" customHeight="1" x14ac:dyDescent="0.35">
      <c r="A116" s="25"/>
      <c r="B116" s="25"/>
      <c r="C116" s="19" t="s">
        <v>46</v>
      </c>
      <c r="D116" s="29" t="s">
        <v>58</v>
      </c>
      <c r="E116" s="29" t="s">
        <v>59</v>
      </c>
      <c r="F116" s="29" t="s">
        <v>72</v>
      </c>
      <c r="G116" s="29" t="s">
        <v>84</v>
      </c>
      <c r="H116" s="29" t="s">
        <v>89</v>
      </c>
      <c r="I116" s="47" t="s">
        <v>95</v>
      </c>
      <c r="J116" s="19" t="s">
        <v>40</v>
      </c>
      <c r="K116" s="19" t="s">
        <v>48</v>
      </c>
      <c r="L116" s="19" t="s">
        <v>19</v>
      </c>
    </row>
    <row r="117" spans="1:12" x14ac:dyDescent="0.35">
      <c r="A117" s="18" t="s">
        <v>1</v>
      </c>
      <c r="B117" s="18" t="s">
        <v>0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35">
      <c r="A118" s="18">
        <v>1</v>
      </c>
      <c r="B118" s="18" t="s">
        <v>2</v>
      </c>
      <c r="C118" s="10">
        <v>500</v>
      </c>
      <c r="D118" s="10"/>
      <c r="E118" s="10"/>
      <c r="F118" s="10"/>
      <c r="G118" s="10"/>
      <c r="H118" s="10"/>
      <c r="I118" s="10"/>
      <c r="J118" s="10">
        <v>100</v>
      </c>
      <c r="K118" s="10">
        <v>50</v>
      </c>
      <c r="L118" s="10">
        <f t="shared" ref="L118:L130" si="15">SUM(C118:K118)</f>
        <v>650</v>
      </c>
    </row>
    <row r="119" spans="1:12" x14ac:dyDescent="0.35">
      <c r="A119" s="18">
        <v>2</v>
      </c>
      <c r="B119" s="18" t="s">
        <v>32</v>
      </c>
      <c r="C119" s="10">
        <v>500</v>
      </c>
      <c r="D119" s="10"/>
      <c r="E119" s="10"/>
      <c r="F119" s="10"/>
      <c r="G119" s="10">
        <v>4250</v>
      </c>
      <c r="H119" s="10"/>
      <c r="I119" s="10"/>
      <c r="J119" s="10">
        <v>100</v>
      </c>
      <c r="K119" s="10">
        <v>50</v>
      </c>
      <c r="L119" s="10">
        <f t="shared" si="15"/>
        <v>4900</v>
      </c>
    </row>
    <row r="120" spans="1:12" x14ac:dyDescent="0.35">
      <c r="A120" s="18">
        <v>3</v>
      </c>
      <c r="B120" s="18" t="s">
        <v>9</v>
      </c>
      <c r="C120" s="10">
        <v>500</v>
      </c>
      <c r="D120" s="45"/>
      <c r="E120" s="45"/>
      <c r="F120" s="45"/>
      <c r="G120" s="45"/>
      <c r="H120" s="45">
        <v>4600</v>
      </c>
      <c r="I120" s="45"/>
      <c r="J120" s="10">
        <v>100</v>
      </c>
      <c r="K120" s="10">
        <v>50</v>
      </c>
      <c r="L120" s="45">
        <f t="shared" si="15"/>
        <v>5250</v>
      </c>
    </row>
    <row r="121" spans="1:12" x14ac:dyDescent="0.35">
      <c r="A121" s="18">
        <v>4</v>
      </c>
      <c r="B121" s="18" t="s">
        <v>4</v>
      </c>
      <c r="C121" s="10">
        <v>500</v>
      </c>
      <c r="D121" s="45"/>
      <c r="E121" s="45"/>
      <c r="F121" s="45"/>
      <c r="G121" s="45"/>
      <c r="H121" s="45">
        <v>4500</v>
      </c>
      <c r="I121" s="45"/>
      <c r="J121" s="10">
        <v>100</v>
      </c>
      <c r="K121" s="10">
        <v>50</v>
      </c>
      <c r="L121" s="45">
        <f t="shared" si="15"/>
        <v>5150</v>
      </c>
    </row>
    <row r="122" spans="1:12" x14ac:dyDescent="0.35">
      <c r="A122" s="18">
        <v>5</v>
      </c>
      <c r="B122" s="18" t="s">
        <v>5</v>
      </c>
      <c r="C122" s="10">
        <v>500</v>
      </c>
      <c r="D122" s="45"/>
      <c r="E122" s="45">
        <v>3500</v>
      </c>
      <c r="F122" s="45"/>
      <c r="G122" s="45"/>
      <c r="H122" s="45"/>
      <c r="I122" s="45"/>
      <c r="J122" s="10">
        <v>100</v>
      </c>
      <c r="K122" s="10">
        <v>50</v>
      </c>
      <c r="L122" s="45">
        <f t="shared" si="15"/>
        <v>4150</v>
      </c>
    </row>
    <row r="123" spans="1:12" x14ac:dyDescent="0.35">
      <c r="A123" s="18">
        <v>6</v>
      </c>
      <c r="B123" s="18" t="s">
        <v>6</v>
      </c>
      <c r="C123" s="10">
        <v>500</v>
      </c>
      <c r="D123" s="45"/>
      <c r="E123" s="45"/>
      <c r="F123" s="45"/>
      <c r="G123" s="45"/>
      <c r="H123" s="45">
        <v>2100</v>
      </c>
      <c r="I123" s="45"/>
      <c r="J123" s="10">
        <v>100</v>
      </c>
      <c r="K123" s="10">
        <v>50</v>
      </c>
      <c r="L123" s="45">
        <f t="shared" si="15"/>
        <v>2750</v>
      </c>
    </row>
    <row r="124" spans="1:12" x14ac:dyDescent="0.35">
      <c r="A124" s="18">
        <v>7</v>
      </c>
      <c r="B124" s="18" t="s">
        <v>7</v>
      </c>
      <c r="C124" s="10">
        <v>2850</v>
      </c>
      <c r="D124" s="45"/>
      <c r="E124" s="45"/>
      <c r="F124" s="45"/>
      <c r="G124" s="45"/>
      <c r="H124" s="45"/>
      <c r="I124" s="45"/>
      <c r="J124" s="10">
        <v>100</v>
      </c>
      <c r="K124" s="10">
        <v>50</v>
      </c>
      <c r="L124" s="45">
        <f t="shared" si="15"/>
        <v>3000</v>
      </c>
    </row>
    <row r="125" spans="1:12" x14ac:dyDescent="0.35">
      <c r="A125" s="18">
        <v>8</v>
      </c>
      <c r="B125" s="18" t="s">
        <v>12</v>
      </c>
      <c r="C125" s="10">
        <v>500</v>
      </c>
      <c r="D125" s="45"/>
      <c r="E125" s="45">
        <v>14100</v>
      </c>
      <c r="F125" s="45"/>
      <c r="G125" s="45"/>
      <c r="H125" s="45"/>
      <c r="I125" s="45">
        <v>1150</v>
      </c>
      <c r="J125" s="10">
        <v>0</v>
      </c>
      <c r="K125" s="10">
        <v>50</v>
      </c>
      <c r="L125" s="45">
        <f t="shared" si="15"/>
        <v>15800</v>
      </c>
    </row>
    <row r="126" spans="1:12" x14ac:dyDescent="0.35">
      <c r="A126" s="18">
        <v>9</v>
      </c>
      <c r="B126" s="18" t="s">
        <v>8</v>
      </c>
      <c r="C126" s="10">
        <v>2350</v>
      </c>
      <c r="D126" s="45"/>
      <c r="E126" s="45"/>
      <c r="F126" s="45">
        <v>7500</v>
      </c>
      <c r="G126" s="45"/>
      <c r="H126" s="45"/>
      <c r="I126" s="45"/>
      <c r="J126" s="10">
        <v>100</v>
      </c>
      <c r="K126" s="10">
        <v>50</v>
      </c>
      <c r="L126" s="45">
        <f t="shared" si="15"/>
        <v>10000</v>
      </c>
    </row>
    <row r="127" spans="1:12" x14ac:dyDescent="0.35">
      <c r="A127" s="18">
        <v>10</v>
      </c>
      <c r="B127" s="18" t="s">
        <v>13</v>
      </c>
      <c r="C127" s="10">
        <v>500</v>
      </c>
      <c r="D127" s="45"/>
      <c r="E127" s="45"/>
      <c r="F127" s="45"/>
      <c r="G127" s="45">
        <v>4350</v>
      </c>
      <c r="H127" s="45"/>
      <c r="I127" s="45"/>
      <c r="J127" s="10">
        <v>100</v>
      </c>
      <c r="K127" s="10">
        <v>50</v>
      </c>
      <c r="L127" s="45">
        <f t="shared" si="15"/>
        <v>5000</v>
      </c>
    </row>
    <row r="128" spans="1:12" x14ac:dyDescent="0.35">
      <c r="A128" s="18">
        <v>11</v>
      </c>
      <c r="B128" s="18" t="s">
        <v>10</v>
      </c>
      <c r="C128" s="10">
        <v>3100</v>
      </c>
      <c r="D128" s="45"/>
      <c r="E128" s="45"/>
      <c r="F128" s="45"/>
      <c r="G128" s="45"/>
      <c r="H128" s="45"/>
      <c r="I128" s="45"/>
      <c r="J128" s="10">
        <v>100</v>
      </c>
      <c r="K128" s="10">
        <v>50</v>
      </c>
      <c r="L128" s="45">
        <f t="shared" si="15"/>
        <v>3250</v>
      </c>
    </row>
    <row r="129" spans="1:12" x14ac:dyDescent="0.35">
      <c r="A129" s="18">
        <v>12</v>
      </c>
      <c r="B129" s="18" t="s">
        <v>14</v>
      </c>
      <c r="C129" s="10">
        <v>1000</v>
      </c>
      <c r="D129" s="10"/>
      <c r="E129" s="10"/>
      <c r="F129" s="10"/>
      <c r="G129" s="10">
        <v>1150</v>
      </c>
      <c r="H129" s="10"/>
      <c r="I129" s="10"/>
      <c r="J129" s="10">
        <v>100</v>
      </c>
      <c r="K129" s="10">
        <v>50</v>
      </c>
      <c r="L129" s="10">
        <f t="shared" si="15"/>
        <v>2300</v>
      </c>
    </row>
    <row r="130" spans="1:12" x14ac:dyDescent="0.35">
      <c r="A130" s="18">
        <v>13</v>
      </c>
      <c r="B130" s="18" t="s">
        <v>11</v>
      </c>
      <c r="C130" s="10">
        <v>600</v>
      </c>
      <c r="D130" s="10"/>
      <c r="E130" s="10"/>
      <c r="F130" s="10"/>
      <c r="G130" s="10"/>
      <c r="H130" s="10"/>
      <c r="I130" s="10"/>
      <c r="J130" s="10">
        <v>100</v>
      </c>
      <c r="K130" s="10">
        <v>50</v>
      </c>
      <c r="L130" s="10">
        <f t="shared" si="15"/>
        <v>750</v>
      </c>
    </row>
    <row r="131" spans="1:12" x14ac:dyDescent="0.35">
      <c r="A131" s="9"/>
      <c r="B131" s="9"/>
      <c r="C131" s="10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thickBot="1" x14ac:dyDescent="0.4">
      <c r="C132" s="8">
        <f t="shared" ref="C132:K132" si="16">SUM(C118:C131)</f>
        <v>13900</v>
      </c>
      <c r="D132" s="8">
        <f t="shared" si="16"/>
        <v>0</v>
      </c>
      <c r="E132" s="8">
        <f t="shared" si="16"/>
        <v>17600</v>
      </c>
      <c r="F132" s="8">
        <f t="shared" si="16"/>
        <v>7500</v>
      </c>
      <c r="G132" s="8">
        <f t="shared" si="16"/>
        <v>9750</v>
      </c>
      <c r="H132" s="8">
        <f t="shared" si="16"/>
        <v>11200</v>
      </c>
      <c r="I132" s="8">
        <f t="shared" si="16"/>
        <v>1150</v>
      </c>
      <c r="J132" s="8">
        <f>SUM(J118:J131)</f>
        <v>1200</v>
      </c>
      <c r="K132" s="8">
        <f t="shared" si="16"/>
        <v>650</v>
      </c>
      <c r="L132" s="8">
        <f>SUM(L118:L131)</f>
        <v>62950</v>
      </c>
    </row>
    <row r="133" spans="1:12" ht="15" thickTop="1" x14ac:dyDescent="0.35">
      <c r="I133" s="1"/>
      <c r="L133" s="4"/>
    </row>
    <row r="136" spans="1:12" x14ac:dyDescent="0.35">
      <c r="A136" s="24"/>
      <c r="B136" s="24" t="s">
        <v>45</v>
      </c>
      <c r="C136" s="24" t="s">
        <v>106</v>
      </c>
      <c r="D136" s="50"/>
      <c r="E136" s="50"/>
      <c r="F136" s="50"/>
      <c r="G136" s="50"/>
      <c r="H136" s="50"/>
      <c r="I136" s="50"/>
    </row>
    <row r="137" spans="1:12" ht="29" x14ac:dyDescent="0.35">
      <c r="B137" s="25"/>
      <c r="C137" s="19" t="s">
        <v>46</v>
      </c>
      <c r="D137" s="29" t="s">
        <v>59</v>
      </c>
      <c r="E137" s="29" t="s">
        <v>72</v>
      </c>
      <c r="F137" s="29" t="s">
        <v>84</v>
      </c>
      <c r="G137" s="29" t="s">
        <v>89</v>
      </c>
      <c r="H137" s="47" t="s">
        <v>95</v>
      </c>
      <c r="I137" s="47" t="s">
        <v>107</v>
      </c>
      <c r="J137" s="19" t="s">
        <v>40</v>
      </c>
      <c r="K137" s="19" t="s">
        <v>48</v>
      </c>
      <c r="L137" s="19" t="s">
        <v>19</v>
      </c>
    </row>
    <row r="138" spans="1:12" x14ac:dyDescent="0.35">
      <c r="A138" s="18">
        <v>1</v>
      </c>
      <c r="B138" s="18" t="s">
        <v>0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35">
      <c r="A139" s="18">
        <v>2</v>
      </c>
      <c r="B139" s="18" t="s">
        <v>2</v>
      </c>
      <c r="C139" s="10">
        <v>500</v>
      </c>
      <c r="D139" s="10"/>
      <c r="E139" s="10"/>
      <c r="F139" s="10"/>
      <c r="G139" s="10"/>
      <c r="H139" s="10"/>
      <c r="I139" s="10"/>
      <c r="J139" s="10">
        <v>100</v>
      </c>
      <c r="K139" s="10">
        <v>50</v>
      </c>
      <c r="L139" s="10">
        <f t="shared" ref="L139:L151" si="17">SUM(C139:K139)</f>
        <v>650</v>
      </c>
    </row>
    <row r="140" spans="1:12" x14ac:dyDescent="0.35">
      <c r="A140" s="18">
        <v>3</v>
      </c>
      <c r="B140" s="18" t="s">
        <v>32</v>
      </c>
      <c r="C140" s="10">
        <v>500</v>
      </c>
      <c r="D140" s="10"/>
      <c r="E140" s="10"/>
      <c r="F140" s="10"/>
      <c r="G140" s="10"/>
      <c r="H140" s="10"/>
      <c r="I140" s="10">
        <v>900</v>
      </c>
      <c r="J140" s="10">
        <v>100</v>
      </c>
      <c r="K140" s="10">
        <v>50</v>
      </c>
      <c r="L140" s="10">
        <f t="shared" si="17"/>
        <v>1550</v>
      </c>
    </row>
    <row r="141" spans="1:12" x14ac:dyDescent="0.35">
      <c r="A141" s="18">
        <v>4</v>
      </c>
      <c r="B141" s="18" t="s">
        <v>9</v>
      </c>
      <c r="C141" s="10">
        <v>1050</v>
      </c>
      <c r="D141" s="45"/>
      <c r="E141" s="45"/>
      <c r="F141" s="45"/>
      <c r="G141" s="45">
        <v>6800</v>
      </c>
      <c r="H141" s="45"/>
      <c r="I141" s="45"/>
      <c r="J141" s="10">
        <v>100</v>
      </c>
      <c r="K141" s="10">
        <v>50</v>
      </c>
      <c r="L141" s="45">
        <f t="shared" si="17"/>
        <v>8000</v>
      </c>
    </row>
    <row r="142" spans="1:12" x14ac:dyDescent="0.35">
      <c r="A142" s="18">
        <v>5</v>
      </c>
      <c r="B142" s="18" t="s">
        <v>4</v>
      </c>
      <c r="C142" s="10">
        <v>500</v>
      </c>
      <c r="D142" s="45"/>
      <c r="E142" s="45"/>
      <c r="F142" s="45"/>
      <c r="G142" s="45"/>
      <c r="H142" s="45">
        <v>3500</v>
      </c>
      <c r="I142" s="45"/>
      <c r="J142" s="10">
        <v>100</v>
      </c>
      <c r="K142" s="10">
        <v>50</v>
      </c>
      <c r="L142" s="45">
        <f t="shared" si="17"/>
        <v>4150</v>
      </c>
    </row>
    <row r="143" spans="1:12" x14ac:dyDescent="0.35">
      <c r="A143" s="18">
        <v>6</v>
      </c>
      <c r="B143" s="18" t="s">
        <v>5</v>
      </c>
      <c r="C143" s="10">
        <v>500</v>
      </c>
      <c r="D143" s="45">
        <v>3500</v>
      </c>
      <c r="E143" s="45"/>
      <c r="F143" s="45"/>
      <c r="G143" s="45"/>
      <c r="H143" s="45"/>
      <c r="I143" s="45"/>
      <c r="J143" s="10">
        <v>100</v>
      </c>
      <c r="K143" s="10">
        <v>50</v>
      </c>
      <c r="L143" s="45">
        <f t="shared" si="17"/>
        <v>4150</v>
      </c>
    </row>
    <row r="144" spans="1:12" x14ac:dyDescent="0.35">
      <c r="A144" s="18">
        <v>7</v>
      </c>
      <c r="B144" s="18" t="s">
        <v>6</v>
      </c>
      <c r="C144" s="10">
        <v>500</v>
      </c>
      <c r="D144" s="45"/>
      <c r="E144" s="45"/>
      <c r="F144" s="45"/>
      <c r="G144" s="45">
        <v>2100</v>
      </c>
      <c r="H144" s="45"/>
      <c r="I144" s="45"/>
      <c r="J144" s="10">
        <v>100</v>
      </c>
      <c r="K144" s="10">
        <v>50</v>
      </c>
      <c r="L144" s="45">
        <f t="shared" si="17"/>
        <v>2750</v>
      </c>
    </row>
    <row r="145" spans="1:13" x14ac:dyDescent="0.35">
      <c r="A145" s="18">
        <v>8</v>
      </c>
      <c r="B145" s="18" t="s">
        <v>7</v>
      </c>
      <c r="C145" s="10">
        <v>1200</v>
      </c>
      <c r="D145" s="45"/>
      <c r="E145" s="45"/>
      <c r="F145" s="45"/>
      <c r="G145" s="45"/>
      <c r="H145" s="45"/>
      <c r="I145" s="45"/>
      <c r="J145" s="10"/>
      <c r="K145" s="10">
        <v>50</v>
      </c>
      <c r="L145" s="45">
        <f t="shared" si="17"/>
        <v>1250</v>
      </c>
    </row>
    <row r="146" spans="1:13" x14ac:dyDescent="0.35">
      <c r="A146" s="18">
        <v>9</v>
      </c>
      <c r="B146" s="18" t="s">
        <v>12</v>
      </c>
      <c r="C146" s="10">
        <v>500</v>
      </c>
      <c r="D146" s="45"/>
      <c r="E146" s="45"/>
      <c r="F146" s="45"/>
      <c r="G146" s="45"/>
      <c r="H146" s="45">
        <v>935</v>
      </c>
      <c r="I146" s="45">
        <v>690</v>
      </c>
      <c r="J146" s="10">
        <v>100</v>
      </c>
      <c r="K146" s="10">
        <v>50</v>
      </c>
      <c r="L146" s="45">
        <f t="shared" si="17"/>
        <v>2275</v>
      </c>
    </row>
    <row r="147" spans="1:13" x14ac:dyDescent="0.35">
      <c r="A147" s="18">
        <v>10</v>
      </c>
      <c r="B147" s="18" t="s">
        <v>8</v>
      </c>
      <c r="C147" s="10">
        <v>2000</v>
      </c>
      <c r="D147" s="45"/>
      <c r="E147" s="45">
        <v>7850</v>
      </c>
      <c r="F147" s="45"/>
      <c r="G147" s="45"/>
      <c r="H147" s="45"/>
      <c r="I147" s="45"/>
      <c r="J147" s="10">
        <v>100</v>
      </c>
      <c r="K147" s="10">
        <v>50</v>
      </c>
      <c r="L147" s="45">
        <f t="shared" si="17"/>
        <v>10000</v>
      </c>
    </row>
    <row r="148" spans="1:13" x14ac:dyDescent="0.35">
      <c r="A148" s="18">
        <v>11</v>
      </c>
      <c r="B148" s="18" t="s">
        <v>13</v>
      </c>
      <c r="C148" s="10">
        <v>500</v>
      </c>
      <c r="D148" s="45"/>
      <c r="E148" s="45"/>
      <c r="F148" s="45">
        <v>4620</v>
      </c>
      <c r="G148" s="45"/>
      <c r="H148" s="45"/>
      <c r="I148" s="45">
        <v>630</v>
      </c>
      <c r="J148" s="10">
        <v>100</v>
      </c>
      <c r="K148" s="10">
        <v>50</v>
      </c>
      <c r="L148" s="45">
        <f t="shared" si="17"/>
        <v>5900</v>
      </c>
    </row>
    <row r="149" spans="1:13" x14ac:dyDescent="0.35">
      <c r="A149" s="18">
        <v>12</v>
      </c>
      <c r="B149" s="18" t="s">
        <v>10</v>
      </c>
      <c r="C149" s="10">
        <v>2200</v>
      </c>
      <c r="D149" s="45"/>
      <c r="E149" s="45"/>
      <c r="F149" s="45"/>
      <c r="G149" s="45"/>
      <c r="H149" s="45"/>
      <c r="I149" s="45">
        <v>7650</v>
      </c>
      <c r="J149" s="10">
        <v>100</v>
      </c>
      <c r="K149" s="10">
        <v>50</v>
      </c>
      <c r="L149" s="45">
        <f t="shared" si="17"/>
        <v>10000</v>
      </c>
    </row>
    <row r="150" spans="1:13" x14ac:dyDescent="0.35">
      <c r="A150" s="18">
        <v>13</v>
      </c>
      <c r="B150" s="18" t="s">
        <v>14</v>
      </c>
      <c r="C150" s="10">
        <v>1000</v>
      </c>
      <c r="D150" s="10"/>
      <c r="E150" s="10"/>
      <c r="F150" s="10"/>
      <c r="G150" s="10"/>
      <c r="H150" s="10"/>
      <c r="I150" s="10"/>
      <c r="J150" s="10">
        <v>100</v>
      </c>
      <c r="K150" s="10">
        <v>50</v>
      </c>
      <c r="L150" s="10">
        <f t="shared" si="17"/>
        <v>1150</v>
      </c>
    </row>
    <row r="151" spans="1:13" x14ac:dyDescent="0.35">
      <c r="A151" s="9"/>
      <c r="B151" s="18" t="s">
        <v>11</v>
      </c>
      <c r="C151" s="10">
        <v>700</v>
      </c>
      <c r="D151" s="10"/>
      <c r="E151" s="10"/>
      <c r="F151" s="10"/>
      <c r="G151" s="10"/>
      <c r="H151" s="10"/>
      <c r="I151" s="10">
        <v>1500</v>
      </c>
      <c r="J151" s="10">
        <v>100</v>
      </c>
      <c r="K151" s="10">
        <v>50</v>
      </c>
      <c r="L151" s="10">
        <f t="shared" si="17"/>
        <v>2350</v>
      </c>
    </row>
    <row r="152" spans="1:13" x14ac:dyDescent="0.35">
      <c r="B152" s="9"/>
      <c r="C152" s="10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3" ht="15" thickBot="1" x14ac:dyDescent="0.4">
      <c r="C153" s="8">
        <f t="shared" ref="C153:I153" si="18">SUM(C139:C152)</f>
        <v>11650</v>
      </c>
      <c r="D153" s="8">
        <f t="shared" si="18"/>
        <v>3500</v>
      </c>
      <c r="E153" s="8">
        <f t="shared" si="18"/>
        <v>7850</v>
      </c>
      <c r="F153" s="8">
        <f t="shared" si="18"/>
        <v>4620</v>
      </c>
      <c r="G153" s="8">
        <f t="shared" si="18"/>
        <v>8900</v>
      </c>
      <c r="H153" s="8">
        <f t="shared" si="18"/>
        <v>4435</v>
      </c>
      <c r="I153" s="8">
        <f t="shared" si="18"/>
        <v>11370</v>
      </c>
      <c r="J153" s="8">
        <f>SUM(J139:J152)</f>
        <v>1200</v>
      </c>
      <c r="K153" s="8">
        <f t="shared" ref="K153" si="19">SUM(K139:K152)</f>
        <v>650</v>
      </c>
      <c r="L153" s="8">
        <f>SUM(L139:L152)</f>
        <v>54175</v>
      </c>
    </row>
    <row r="154" spans="1:13" ht="15" thickTop="1" x14ac:dyDescent="0.35"/>
    <row r="155" spans="1:13" x14ac:dyDescent="0.35">
      <c r="I155" s="1"/>
    </row>
    <row r="156" spans="1:13" x14ac:dyDescent="0.35">
      <c r="A156" s="24"/>
      <c r="B156" s="24" t="s">
        <v>45</v>
      </c>
      <c r="C156" s="24" t="s">
        <v>112</v>
      </c>
      <c r="D156" s="50"/>
      <c r="E156" s="50"/>
      <c r="F156" s="50"/>
      <c r="G156" s="50"/>
      <c r="H156" s="50"/>
      <c r="I156" s="50"/>
    </row>
    <row r="157" spans="1:13" ht="43.5" x14ac:dyDescent="0.35">
      <c r="B157" s="25"/>
      <c r="C157" s="19" t="s">
        <v>46</v>
      </c>
      <c r="D157" s="29" t="s">
        <v>59</v>
      </c>
      <c r="E157" s="29" t="s">
        <v>72</v>
      </c>
      <c r="F157" s="29" t="s">
        <v>84</v>
      </c>
      <c r="G157" s="29" t="s">
        <v>89</v>
      </c>
      <c r="H157" s="47" t="s">
        <v>95</v>
      </c>
      <c r="I157" s="47" t="s">
        <v>107</v>
      </c>
      <c r="J157" s="47" t="s">
        <v>115</v>
      </c>
      <c r="K157" s="19" t="s">
        <v>40</v>
      </c>
      <c r="L157" s="19" t="s">
        <v>48</v>
      </c>
      <c r="M157" s="19" t="s">
        <v>19</v>
      </c>
    </row>
    <row r="158" spans="1:13" x14ac:dyDescent="0.35">
      <c r="A158" s="18">
        <v>1</v>
      </c>
      <c r="B158" s="18" t="s">
        <v>0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</row>
    <row r="159" spans="1:13" x14ac:dyDescent="0.35">
      <c r="A159" s="18">
        <v>2</v>
      </c>
      <c r="B159" s="18" t="s">
        <v>2</v>
      </c>
      <c r="C159" s="10">
        <v>500</v>
      </c>
      <c r="D159" s="10"/>
      <c r="E159" s="10"/>
      <c r="F159" s="10"/>
      <c r="G159" s="10"/>
      <c r="H159" s="10"/>
      <c r="I159" s="10"/>
      <c r="J159" s="10"/>
      <c r="K159" s="10">
        <v>100</v>
      </c>
      <c r="L159" s="10">
        <v>50</v>
      </c>
      <c r="M159" s="10">
        <f t="shared" ref="M159:M171" si="20">SUM(C159:L159)</f>
        <v>650</v>
      </c>
    </row>
    <row r="160" spans="1:13" x14ac:dyDescent="0.35">
      <c r="A160" s="18">
        <v>3</v>
      </c>
      <c r="B160" s="18" t="s">
        <v>32</v>
      </c>
      <c r="C160" s="10">
        <v>1500</v>
      </c>
      <c r="D160" s="10"/>
      <c r="E160" s="10"/>
      <c r="F160" s="10"/>
      <c r="G160" s="10"/>
      <c r="H160" s="10"/>
      <c r="I160" s="10">
        <v>3000</v>
      </c>
      <c r="J160" s="10"/>
      <c r="K160" s="10">
        <v>100</v>
      </c>
      <c r="L160" s="10">
        <v>50</v>
      </c>
      <c r="M160" s="10">
        <f t="shared" si="20"/>
        <v>4650</v>
      </c>
    </row>
    <row r="161" spans="1:16" x14ac:dyDescent="0.35">
      <c r="A161" s="18">
        <v>4</v>
      </c>
      <c r="B161" s="18" t="s">
        <v>9</v>
      </c>
      <c r="C161" s="10">
        <v>1050</v>
      </c>
      <c r="D161" s="45"/>
      <c r="E161" s="45"/>
      <c r="F161" s="45"/>
      <c r="G161" s="45">
        <v>2567</v>
      </c>
      <c r="H161" s="45"/>
      <c r="I161" s="45"/>
      <c r="J161" s="45">
        <v>2033</v>
      </c>
      <c r="K161" s="10">
        <v>100</v>
      </c>
      <c r="L161" s="10">
        <v>50</v>
      </c>
      <c r="M161" s="45">
        <f t="shared" si="20"/>
        <v>5800</v>
      </c>
    </row>
    <row r="162" spans="1:16" x14ac:dyDescent="0.35">
      <c r="A162" s="18">
        <v>5</v>
      </c>
      <c r="B162" s="18" t="s">
        <v>4</v>
      </c>
      <c r="C162" s="10">
        <v>500</v>
      </c>
      <c r="D162" s="45"/>
      <c r="E162" s="45"/>
      <c r="F162" s="45"/>
      <c r="G162" s="45"/>
      <c r="H162" s="45">
        <v>4000</v>
      </c>
      <c r="I162" s="45"/>
      <c r="J162" s="45"/>
      <c r="K162" s="10">
        <v>100</v>
      </c>
      <c r="L162" s="10">
        <v>50</v>
      </c>
      <c r="M162" s="45">
        <f t="shared" si="20"/>
        <v>4650</v>
      </c>
    </row>
    <row r="163" spans="1:16" x14ac:dyDescent="0.35">
      <c r="A163" s="18">
        <v>6</v>
      </c>
      <c r="B163" s="18" t="s">
        <v>5</v>
      </c>
      <c r="C163" s="10">
        <v>16350</v>
      </c>
      <c r="D163" s="45">
        <v>3500</v>
      </c>
      <c r="E163" s="45"/>
      <c r="F163" s="45"/>
      <c r="G163" s="45"/>
      <c r="H163" s="45"/>
      <c r="I163" s="45"/>
      <c r="J163" s="45"/>
      <c r="K163" s="10">
        <v>100</v>
      </c>
      <c r="L163" s="10">
        <v>50</v>
      </c>
      <c r="M163" s="45">
        <f t="shared" si="20"/>
        <v>20000</v>
      </c>
    </row>
    <row r="164" spans="1:16" x14ac:dyDescent="0.35">
      <c r="A164" s="18">
        <v>7</v>
      </c>
      <c r="B164" s="18" t="s">
        <v>6</v>
      </c>
      <c r="C164" s="10">
        <v>500</v>
      </c>
      <c r="D164" s="45"/>
      <c r="E164" s="45"/>
      <c r="F164" s="45"/>
      <c r="G164" s="45">
        <v>2100</v>
      </c>
      <c r="H164" s="45"/>
      <c r="I164" s="45"/>
      <c r="J164" s="45"/>
      <c r="K164" s="10">
        <v>100</v>
      </c>
      <c r="L164" s="10">
        <v>50</v>
      </c>
      <c r="M164" s="45">
        <f t="shared" si="20"/>
        <v>2750</v>
      </c>
    </row>
    <row r="165" spans="1:16" x14ac:dyDescent="0.35">
      <c r="A165" s="18">
        <v>8</v>
      </c>
      <c r="B165" s="18" t="s">
        <v>7</v>
      </c>
      <c r="C165" s="10">
        <v>500</v>
      </c>
      <c r="D165" s="45" t="s">
        <v>113</v>
      </c>
      <c r="E165" s="45"/>
      <c r="F165" s="45"/>
      <c r="G165" s="45"/>
      <c r="H165" s="45"/>
      <c r="I165" s="45"/>
      <c r="J165" s="45"/>
      <c r="K165" s="10"/>
      <c r="L165" s="10">
        <v>50</v>
      </c>
      <c r="M165" s="45">
        <f t="shared" si="20"/>
        <v>550</v>
      </c>
    </row>
    <row r="166" spans="1:16" x14ac:dyDescent="0.35">
      <c r="A166" s="18">
        <v>9</v>
      </c>
      <c r="B166" s="18" t="s">
        <v>12</v>
      </c>
      <c r="C166" s="10">
        <v>500</v>
      </c>
      <c r="D166" s="45"/>
      <c r="E166" s="45"/>
      <c r="F166" s="45"/>
      <c r="G166" s="45"/>
      <c r="H166" s="45">
        <v>1035</v>
      </c>
      <c r="I166" s="45">
        <v>690</v>
      </c>
      <c r="J166" s="45"/>
      <c r="K166" s="10">
        <v>100</v>
      </c>
      <c r="L166" s="10">
        <v>50</v>
      </c>
      <c r="M166" s="45">
        <f t="shared" si="20"/>
        <v>2375</v>
      </c>
    </row>
    <row r="167" spans="1:16" x14ac:dyDescent="0.35">
      <c r="A167" s="18">
        <v>10</v>
      </c>
      <c r="B167" s="18" t="s">
        <v>8</v>
      </c>
      <c r="C167" s="10">
        <v>1200</v>
      </c>
      <c r="D167" s="45"/>
      <c r="E167" s="45">
        <v>5000</v>
      </c>
      <c r="F167" s="45"/>
      <c r="G167" s="45"/>
      <c r="H167" s="45"/>
      <c r="I167" s="45"/>
      <c r="J167" s="45"/>
      <c r="K167" s="10">
        <v>100</v>
      </c>
      <c r="L167" s="10">
        <v>50</v>
      </c>
      <c r="M167" s="45">
        <f t="shared" si="20"/>
        <v>6350</v>
      </c>
    </row>
    <row r="168" spans="1:16" x14ac:dyDescent="0.35">
      <c r="A168" s="18">
        <v>11</v>
      </c>
      <c r="B168" s="18" t="s">
        <v>13</v>
      </c>
      <c r="C168" s="10">
        <v>500</v>
      </c>
      <c r="D168" s="45"/>
      <c r="E168" s="45"/>
      <c r="F168" s="45">
        <v>830</v>
      </c>
      <c r="G168" s="45"/>
      <c r="H168" s="45"/>
      <c r="I168" s="45">
        <v>690</v>
      </c>
      <c r="J168" s="45">
        <v>2925</v>
      </c>
      <c r="K168" s="10">
        <v>100</v>
      </c>
      <c r="L168" s="10">
        <v>50</v>
      </c>
      <c r="M168" s="45">
        <f t="shared" si="20"/>
        <v>5095</v>
      </c>
      <c r="P168" s="4"/>
    </row>
    <row r="169" spans="1:16" x14ac:dyDescent="0.35">
      <c r="A169" s="18">
        <v>12</v>
      </c>
      <c r="B169" s="18" t="s">
        <v>10</v>
      </c>
      <c r="C169" s="10">
        <v>3100</v>
      </c>
      <c r="D169" s="45"/>
      <c r="E169" s="45"/>
      <c r="F169" s="45"/>
      <c r="G169" s="45"/>
      <c r="H169" s="45"/>
      <c r="I169" s="45">
        <v>6500</v>
      </c>
      <c r="J169" s="45"/>
      <c r="K169" s="10">
        <v>100</v>
      </c>
      <c r="L169" s="10">
        <v>50</v>
      </c>
      <c r="M169" s="45">
        <f t="shared" si="20"/>
        <v>9750</v>
      </c>
    </row>
    <row r="170" spans="1:16" x14ac:dyDescent="0.35">
      <c r="A170" s="18">
        <v>13</v>
      </c>
      <c r="B170" s="18" t="s">
        <v>14</v>
      </c>
      <c r="C170" s="10">
        <v>1000</v>
      </c>
      <c r="D170" s="10">
        <v>0</v>
      </c>
      <c r="E170" s="10"/>
      <c r="F170" s="10"/>
      <c r="G170" s="10"/>
      <c r="H170" s="10"/>
      <c r="I170" s="10"/>
      <c r="J170" s="10"/>
      <c r="K170" s="10">
        <v>100</v>
      </c>
      <c r="L170" s="10">
        <v>50</v>
      </c>
      <c r="M170" s="10">
        <f t="shared" si="20"/>
        <v>1150</v>
      </c>
    </row>
    <row r="171" spans="1:16" x14ac:dyDescent="0.35">
      <c r="A171" s="9"/>
      <c r="B171" s="18" t="s">
        <v>11</v>
      </c>
      <c r="C171" s="10">
        <v>800</v>
      </c>
      <c r="D171" s="10"/>
      <c r="E171" s="10"/>
      <c r="F171" s="10"/>
      <c r="G171" s="10"/>
      <c r="H171" s="10"/>
      <c r="I171" s="10">
        <v>1550</v>
      </c>
      <c r="J171" s="10"/>
      <c r="K171" s="10">
        <v>100</v>
      </c>
      <c r="L171" s="10">
        <v>50</v>
      </c>
      <c r="M171" s="10">
        <f t="shared" si="20"/>
        <v>2500</v>
      </c>
    </row>
    <row r="172" spans="1:16" x14ac:dyDescent="0.35">
      <c r="B172" s="9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</row>
    <row r="173" spans="1:16" ht="15" thickBot="1" x14ac:dyDescent="0.4">
      <c r="C173" s="8">
        <f>SUM(C159:C172)</f>
        <v>28000</v>
      </c>
      <c r="D173" s="8">
        <f t="shared" ref="D173:J173" si="21">SUM(D159:D172)</f>
        <v>3500</v>
      </c>
      <c r="E173" s="8">
        <f t="shared" si="21"/>
        <v>5000</v>
      </c>
      <c r="F173" s="8">
        <f t="shared" si="21"/>
        <v>830</v>
      </c>
      <c r="G173" s="8">
        <f t="shared" si="21"/>
        <v>4667</v>
      </c>
      <c r="H173" s="8">
        <f t="shared" si="21"/>
        <v>5035</v>
      </c>
      <c r="I173" s="8">
        <f t="shared" si="21"/>
        <v>12430</v>
      </c>
      <c r="J173" s="8">
        <f t="shared" si="21"/>
        <v>4958</v>
      </c>
      <c r="K173" s="8">
        <f>SUM(K159:K172)</f>
        <v>1200</v>
      </c>
      <c r="L173" s="8">
        <f t="shared" ref="L173" si="22">SUM(L159:L172)</f>
        <v>650</v>
      </c>
      <c r="M173" s="8">
        <f t="shared" ref="M173" si="23">SUM(M159:M172)</f>
        <v>66270</v>
      </c>
    </row>
    <row r="174" spans="1:16" ht="15" thickTop="1" x14ac:dyDescent="0.35"/>
    <row r="175" spans="1:16" x14ac:dyDescent="0.35">
      <c r="I175" s="1"/>
      <c r="K175" s="4"/>
    </row>
  </sheetData>
  <pageMargins left="0.7" right="0.7" top="0.75" bottom="0.75" header="0.3" footer="0.3"/>
  <pageSetup paperSize="9" scale="90" orientation="landscape" r:id="rId1"/>
  <rowBreaks count="7" manualBreakCount="7">
    <brk id="18" max="16383" man="1"/>
    <brk id="38" max="16383" man="1"/>
    <brk id="57" max="12" man="1"/>
    <brk id="76" max="12" man="1"/>
    <brk id="94" max="12" man="1"/>
    <brk id="114" max="11" man="1"/>
    <brk id="155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984AD-C64F-4019-80B6-7212C7036FE5}">
  <dimension ref="A1:Q198"/>
  <sheetViews>
    <sheetView view="pageBreakPreview" topLeftCell="A151" zoomScaleNormal="100" zoomScaleSheetLayoutView="100" workbookViewId="0">
      <selection activeCell="I27" sqref="I27"/>
    </sheetView>
  </sheetViews>
  <sheetFormatPr defaultRowHeight="14.5" x14ac:dyDescent="0.35"/>
  <cols>
    <col min="2" max="2" width="18.36328125" bestFit="1" customWidth="1"/>
    <col min="3" max="3" width="11.1796875" bestFit="1" customWidth="1"/>
    <col min="4" max="5" width="11.26953125" customWidth="1"/>
    <col min="6" max="7" width="11.1796875" bestFit="1" customWidth="1"/>
    <col min="8" max="8" width="11.36328125" customWidth="1"/>
    <col min="9" max="9" width="11.6328125" bestFit="1" customWidth="1"/>
    <col min="10" max="10" width="9.1796875" bestFit="1" customWidth="1"/>
    <col min="12" max="12" width="10.1796875" bestFit="1" customWidth="1"/>
    <col min="14" max="14" width="11.1796875" bestFit="1" customWidth="1"/>
  </cols>
  <sheetData>
    <row r="1" spans="1:17" x14ac:dyDescent="0.35">
      <c r="A1" s="13" t="s">
        <v>27</v>
      </c>
      <c r="B1" s="13"/>
      <c r="C1" s="12">
        <v>45658</v>
      </c>
      <c r="D1" s="14"/>
      <c r="E1" s="14"/>
      <c r="F1" s="13"/>
      <c r="G1" s="13"/>
      <c r="H1" s="13"/>
      <c r="I1" s="2"/>
      <c r="J1" s="2"/>
      <c r="K1" s="2"/>
      <c r="L1" s="2"/>
      <c r="M1" s="2"/>
      <c r="N1" s="2"/>
      <c r="O1" s="2"/>
      <c r="P1" s="2"/>
      <c r="Q1" s="2"/>
    </row>
    <row r="2" spans="1:17" x14ac:dyDescent="0.35">
      <c r="A2" s="18"/>
      <c r="B2" s="18"/>
      <c r="C2" s="19" t="s">
        <v>16</v>
      </c>
      <c r="D2" s="20" t="s">
        <v>17</v>
      </c>
      <c r="E2" s="20" t="s">
        <v>52</v>
      </c>
      <c r="F2" s="18" t="s">
        <v>22</v>
      </c>
      <c r="G2" s="18" t="s">
        <v>23</v>
      </c>
      <c r="H2" s="18" t="s">
        <v>26</v>
      </c>
      <c r="I2" s="21" t="s">
        <v>31</v>
      </c>
    </row>
    <row r="3" spans="1:17" x14ac:dyDescent="0.35">
      <c r="A3" s="18" t="s">
        <v>1</v>
      </c>
      <c r="B3" s="18" t="s">
        <v>0</v>
      </c>
      <c r="C3" s="13"/>
      <c r="D3" s="13"/>
      <c r="E3" s="13"/>
      <c r="F3" s="13"/>
      <c r="G3" s="13"/>
      <c r="H3" s="13"/>
    </row>
    <row r="4" spans="1:17" x14ac:dyDescent="0.35">
      <c r="A4" s="18">
        <v>1</v>
      </c>
      <c r="B4" s="18" t="s">
        <v>2</v>
      </c>
      <c r="C4" s="10"/>
      <c r="D4" s="10"/>
      <c r="E4" s="10"/>
      <c r="F4" s="9"/>
      <c r="G4" s="11">
        <f t="shared" ref="G4:G5" si="0">E4-F4</f>
        <v>0</v>
      </c>
      <c r="H4" s="11"/>
    </row>
    <row r="5" spans="1:17" x14ac:dyDescent="0.35">
      <c r="A5" s="18">
        <v>2</v>
      </c>
      <c r="B5" s="18" t="s">
        <v>32</v>
      </c>
      <c r="C5" s="10"/>
      <c r="D5" s="10"/>
      <c r="E5" s="10"/>
      <c r="F5" s="9"/>
      <c r="G5" s="11">
        <f t="shared" si="0"/>
        <v>0</v>
      </c>
      <c r="H5" s="11"/>
    </row>
    <row r="6" spans="1:17" x14ac:dyDescent="0.35">
      <c r="A6" s="18">
        <v>3</v>
      </c>
      <c r="B6" s="18" t="s">
        <v>9</v>
      </c>
      <c r="C6" s="10">
        <v>10000</v>
      </c>
      <c r="D6" s="10">
        <f>C6*0.15</f>
        <v>1500</v>
      </c>
      <c r="E6" s="10">
        <f>C6+D6</f>
        <v>11500</v>
      </c>
      <c r="F6" s="32">
        <v>1600</v>
      </c>
      <c r="G6" s="11">
        <f>E6-F6</f>
        <v>9900</v>
      </c>
      <c r="H6" s="11" t="s">
        <v>29</v>
      </c>
      <c r="I6" s="4">
        <f>E6*0.1</f>
        <v>1150</v>
      </c>
    </row>
    <row r="7" spans="1:17" x14ac:dyDescent="0.35">
      <c r="A7" s="18">
        <v>4</v>
      </c>
      <c r="B7" s="18" t="s">
        <v>4</v>
      </c>
      <c r="C7" s="10">
        <v>40000</v>
      </c>
      <c r="D7" s="10">
        <f>C7*0.15</f>
        <v>6000</v>
      </c>
      <c r="E7" s="10">
        <f>C7+D7</f>
        <v>46000</v>
      </c>
      <c r="F7" s="32">
        <v>4000</v>
      </c>
      <c r="G7" s="11">
        <f t="shared" ref="G7:G16" si="1">E7-F7</f>
        <v>42000</v>
      </c>
      <c r="H7" s="11" t="s">
        <v>30</v>
      </c>
      <c r="I7" s="4">
        <f>E7*0.1</f>
        <v>4600</v>
      </c>
    </row>
    <row r="8" spans="1:17" x14ac:dyDescent="0.35">
      <c r="A8" s="18"/>
      <c r="B8" s="18" t="s">
        <v>5</v>
      </c>
      <c r="C8" s="10"/>
      <c r="D8" s="10"/>
      <c r="E8" s="10"/>
      <c r="F8" s="32">
        <v>0</v>
      </c>
      <c r="G8" s="11">
        <f t="shared" si="1"/>
        <v>0</v>
      </c>
      <c r="H8" s="11"/>
    </row>
    <row r="9" spans="1:17" x14ac:dyDescent="0.35">
      <c r="A9" s="18">
        <v>6</v>
      </c>
      <c r="B9" s="18" t="s">
        <v>6</v>
      </c>
      <c r="C9" s="10"/>
      <c r="D9" s="10"/>
      <c r="E9" s="10"/>
      <c r="F9" s="32">
        <v>0</v>
      </c>
      <c r="G9" s="11">
        <f t="shared" si="1"/>
        <v>0</v>
      </c>
      <c r="H9" s="11"/>
    </row>
    <row r="10" spans="1:17" x14ac:dyDescent="0.35">
      <c r="A10" s="18">
        <v>7</v>
      </c>
      <c r="B10" s="18" t="s">
        <v>7</v>
      </c>
      <c r="C10" s="10"/>
      <c r="D10" s="10"/>
      <c r="E10" s="10"/>
      <c r="F10" s="32">
        <v>0</v>
      </c>
      <c r="G10" s="11">
        <f t="shared" si="1"/>
        <v>0</v>
      </c>
      <c r="H10" s="11"/>
    </row>
    <row r="11" spans="1:17" x14ac:dyDescent="0.35">
      <c r="A11" s="18">
        <v>8</v>
      </c>
      <c r="B11" s="18" t="s">
        <v>12</v>
      </c>
      <c r="C11" s="10"/>
      <c r="D11" s="10"/>
      <c r="E11" s="10"/>
      <c r="F11" s="32">
        <v>0</v>
      </c>
      <c r="G11" s="11">
        <f t="shared" si="1"/>
        <v>0</v>
      </c>
      <c r="H11" s="11"/>
    </row>
    <row r="12" spans="1:17" x14ac:dyDescent="0.35">
      <c r="A12" s="18">
        <v>9</v>
      </c>
      <c r="B12" s="18" t="s">
        <v>8</v>
      </c>
      <c r="C12" s="10"/>
      <c r="D12" s="10"/>
      <c r="E12" s="10"/>
      <c r="F12" s="32">
        <v>0</v>
      </c>
      <c r="G12" s="11">
        <f t="shared" si="1"/>
        <v>0</v>
      </c>
      <c r="H12" s="11"/>
    </row>
    <row r="13" spans="1:17" x14ac:dyDescent="0.35">
      <c r="A13" s="18">
        <v>10</v>
      </c>
      <c r="B13" s="18" t="s">
        <v>13</v>
      </c>
      <c r="C13" s="10"/>
      <c r="D13" s="10"/>
      <c r="E13" s="10"/>
      <c r="F13" s="32">
        <v>0</v>
      </c>
      <c r="G13" s="11">
        <f t="shared" si="1"/>
        <v>0</v>
      </c>
      <c r="H13" s="11"/>
    </row>
    <row r="14" spans="1:17" x14ac:dyDescent="0.35">
      <c r="A14" s="18">
        <v>11</v>
      </c>
      <c r="B14" s="18" t="s">
        <v>10</v>
      </c>
      <c r="C14" s="10"/>
      <c r="D14" s="10"/>
      <c r="E14" s="10"/>
      <c r="F14" s="32">
        <v>0</v>
      </c>
      <c r="G14" s="11">
        <f t="shared" si="1"/>
        <v>0</v>
      </c>
      <c r="H14" s="11"/>
    </row>
    <row r="15" spans="1:17" x14ac:dyDescent="0.35">
      <c r="A15" s="18">
        <v>12</v>
      </c>
      <c r="B15" s="18" t="s">
        <v>14</v>
      </c>
      <c r="C15" s="10"/>
      <c r="D15" s="10"/>
      <c r="E15" s="10"/>
      <c r="F15" s="32">
        <v>0</v>
      </c>
      <c r="G15" s="11">
        <f t="shared" si="1"/>
        <v>0</v>
      </c>
      <c r="H15" s="11"/>
    </row>
    <row r="16" spans="1:17" x14ac:dyDescent="0.35">
      <c r="A16" s="18">
        <v>13</v>
      </c>
      <c r="B16" s="18" t="s">
        <v>11</v>
      </c>
      <c r="C16" s="10">
        <v>1500</v>
      </c>
      <c r="D16" s="10">
        <f>C16*0.15</f>
        <v>225</v>
      </c>
      <c r="E16" s="10">
        <f>C16+D16</f>
        <v>1725</v>
      </c>
      <c r="F16" s="32">
        <v>650</v>
      </c>
      <c r="G16" s="11">
        <f t="shared" si="1"/>
        <v>1075</v>
      </c>
      <c r="H16" s="11" t="s">
        <v>28</v>
      </c>
      <c r="I16" s="4">
        <f>E16/2</f>
        <v>862.5</v>
      </c>
    </row>
    <row r="17" spans="1:9" x14ac:dyDescent="0.35">
      <c r="A17" s="9"/>
      <c r="B17" s="9"/>
      <c r="C17" s="10"/>
      <c r="D17" s="10"/>
      <c r="E17" s="10"/>
      <c r="F17" s="9"/>
      <c r="G17" s="9"/>
      <c r="H17" s="9"/>
    </row>
    <row r="18" spans="1:9" ht="15" thickBot="1" x14ac:dyDescent="0.4">
      <c r="C18" s="7">
        <f>SUM(C4:C17)</f>
        <v>51500</v>
      </c>
      <c r="D18" s="7">
        <f>SUM(D4:D17)</f>
        <v>7725</v>
      </c>
      <c r="E18" s="7">
        <f>SUM(E4:E17)</f>
        <v>59225</v>
      </c>
      <c r="F18" s="7">
        <f t="shared" ref="F18:G18" si="2">SUM(F4:F17)</f>
        <v>6250</v>
      </c>
      <c r="G18" s="7">
        <f t="shared" si="2"/>
        <v>52975</v>
      </c>
      <c r="H18" s="7"/>
    </row>
    <row r="19" spans="1:9" ht="15" thickTop="1" x14ac:dyDescent="0.35"/>
    <row r="21" spans="1:9" x14ac:dyDescent="0.35">
      <c r="A21" s="34" t="s">
        <v>64</v>
      </c>
      <c r="B21" s="34"/>
      <c r="C21" s="12">
        <v>45689</v>
      </c>
      <c r="D21" s="14"/>
      <c r="E21" s="14"/>
      <c r="F21" s="13"/>
      <c r="G21" s="13"/>
      <c r="H21" s="13"/>
      <c r="I21" s="2"/>
    </row>
    <row r="22" spans="1:9" x14ac:dyDescent="0.35">
      <c r="A22" s="24" t="s">
        <v>65</v>
      </c>
      <c r="B22" s="24"/>
      <c r="C22" s="33" t="s">
        <v>16</v>
      </c>
      <c r="D22" s="20" t="s">
        <v>17</v>
      </c>
      <c r="E22" s="20" t="s">
        <v>52</v>
      </c>
      <c r="F22" s="18" t="s">
        <v>22</v>
      </c>
      <c r="G22" s="18" t="s">
        <v>23</v>
      </c>
      <c r="H22" s="18" t="s">
        <v>26</v>
      </c>
      <c r="I22" s="21" t="s">
        <v>31</v>
      </c>
    </row>
    <row r="23" spans="1:9" x14ac:dyDescent="0.35">
      <c r="A23" s="18" t="s">
        <v>1</v>
      </c>
      <c r="B23" s="18" t="s">
        <v>0</v>
      </c>
      <c r="C23" s="13"/>
      <c r="D23" s="13"/>
      <c r="E23" s="13"/>
      <c r="F23" s="13"/>
      <c r="G23" s="13"/>
      <c r="H23" s="13"/>
    </row>
    <row r="24" spans="1:9" x14ac:dyDescent="0.35">
      <c r="A24" s="18">
        <v>1</v>
      </c>
      <c r="B24" s="18" t="s">
        <v>2</v>
      </c>
      <c r="C24" s="10">
        <v>0</v>
      </c>
      <c r="D24" s="10"/>
      <c r="E24" s="10"/>
      <c r="F24" s="32">
        <v>0</v>
      </c>
      <c r="G24" s="11">
        <f>C24+D24-F24</f>
        <v>0</v>
      </c>
      <c r="H24" s="11"/>
    </row>
    <row r="25" spans="1:9" x14ac:dyDescent="0.35">
      <c r="A25" s="18">
        <v>2</v>
      </c>
      <c r="B25" s="18" t="s">
        <v>32</v>
      </c>
      <c r="C25" s="10">
        <v>0</v>
      </c>
      <c r="D25" s="10"/>
      <c r="E25" s="10"/>
      <c r="F25" s="32">
        <v>0</v>
      </c>
      <c r="G25" s="11">
        <f t="shared" ref="G25:G35" si="3">C25+D25-F25</f>
        <v>0</v>
      </c>
      <c r="H25" s="11"/>
    </row>
    <row r="26" spans="1:9" x14ac:dyDescent="0.35">
      <c r="A26" s="18">
        <v>3</v>
      </c>
      <c r="B26" s="18" t="s">
        <v>9</v>
      </c>
      <c r="C26" s="10">
        <v>9900</v>
      </c>
      <c r="D26" s="10">
        <v>0</v>
      </c>
      <c r="E26" s="10">
        <f>C26+D26</f>
        <v>9900</v>
      </c>
      <c r="F26" s="32">
        <v>1150</v>
      </c>
      <c r="G26" s="11">
        <f t="shared" si="3"/>
        <v>8750</v>
      </c>
      <c r="H26" s="11" t="s">
        <v>29</v>
      </c>
      <c r="I26" s="4">
        <v>1150</v>
      </c>
    </row>
    <row r="27" spans="1:9" x14ac:dyDescent="0.35">
      <c r="A27" s="18">
        <v>4</v>
      </c>
      <c r="B27" s="18" t="s">
        <v>4</v>
      </c>
      <c r="C27" s="10">
        <v>42000</v>
      </c>
      <c r="D27" s="10">
        <v>0</v>
      </c>
      <c r="E27" s="10">
        <f>C27+D27</f>
        <v>42000</v>
      </c>
      <c r="F27" s="32">
        <v>4000</v>
      </c>
      <c r="G27" s="11">
        <f t="shared" si="3"/>
        <v>38000</v>
      </c>
      <c r="H27" s="11" t="s">
        <v>30</v>
      </c>
      <c r="I27" s="4">
        <v>4600</v>
      </c>
    </row>
    <row r="28" spans="1:9" x14ac:dyDescent="0.35">
      <c r="A28" s="18"/>
      <c r="B28" s="18" t="s">
        <v>5</v>
      </c>
      <c r="C28" s="10">
        <v>70000</v>
      </c>
      <c r="D28" s="10">
        <f>C28*0.15</f>
        <v>10500</v>
      </c>
      <c r="E28" s="10">
        <f t="shared" ref="E28:E35" si="4">C28+D28</f>
        <v>80500</v>
      </c>
      <c r="F28" s="32">
        <v>3500</v>
      </c>
      <c r="G28" s="11">
        <f t="shared" si="3"/>
        <v>77000</v>
      </c>
      <c r="H28" s="11" t="s">
        <v>54</v>
      </c>
      <c r="I28" s="4">
        <f>E28*0.1</f>
        <v>8050</v>
      </c>
    </row>
    <row r="29" spans="1:9" x14ac:dyDescent="0.35">
      <c r="A29" s="18">
        <v>6</v>
      </c>
      <c r="B29" s="18" t="s">
        <v>6</v>
      </c>
      <c r="C29" s="10">
        <v>1800</v>
      </c>
      <c r="D29" s="10">
        <f t="shared" ref="D29:D31" si="5">C29*0.15</f>
        <v>270</v>
      </c>
      <c r="E29" s="10">
        <f t="shared" si="4"/>
        <v>2070</v>
      </c>
      <c r="F29" s="32">
        <v>2070</v>
      </c>
      <c r="G29" s="11">
        <f t="shared" si="3"/>
        <v>0</v>
      </c>
      <c r="H29" s="11" t="s">
        <v>53</v>
      </c>
      <c r="I29" s="4">
        <v>2070</v>
      </c>
    </row>
    <row r="30" spans="1:9" x14ac:dyDescent="0.35">
      <c r="A30" s="18">
        <v>7</v>
      </c>
      <c r="B30" s="18" t="s">
        <v>7</v>
      </c>
      <c r="C30" s="10">
        <v>0</v>
      </c>
      <c r="D30" s="10">
        <f t="shared" si="5"/>
        <v>0</v>
      </c>
      <c r="E30" s="10">
        <f t="shared" si="4"/>
        <v>0</v>
      </c>
      <c r="F30" s="32">
        <v>0</v>
      </c>
      <c r="G30" s="11">
        <f t="shared" si="3"/>
        <v>0</v>
      </c>
      <c r="H30" s="11"/>
    </row>
    <row r="31" spans="1:9" x14ac:dyDescent="0.35">
      <c r="A31" s="18">
        <v>8</v>
      </c>
      <c r="B31" s="18" t="s">
        <v>12</v>
      </c>
      <c r="C31" s="10">
        <v>20000</v>
      </c>
      <c r="D31" s="10">
        <f t="shared" si="5"/>
        <v>3000</v>
      </c>
      <c r="E31" s="10">
        <f t="shared" si="4"/>
        <v>23000</v>
      </c>
      <c r="F31" s="32">
        <v>2000</v>
      </c>
      <c r="G31" s="11">
        <f t="shared" si="3"/>
        <v>21000</v>
      </c>
      <c r="H31" s="11" t="s">
        <v>54</v>
      </c>
      <c r="I31" s="4">
        <f>E31*0.1</f>
        <v>2300</v>
      </c>
    </row>
    <row r="32" spans="1:9" x14ac:dyDescent="0.35">
      <c r="A32" s="18">
        <v>9</v>
      </c>
      <c r="B32" s="18" t="s">
        <v>8</v>
      </c>
      <c r="C32" s="10">
        <v>0</v>
      </c>
      <c r="D32" s="10"/>
      <c r="E32" s="10">
        <f t="shared" si="4"/>
        <v>0</v>
      </c>
      <c r="F32" s="32">
        <v>0</v>
      </c>
      <c r="G32" s="11">
        <f t="shared" si="3"/>
        <v>0</v>
      </c>
      <c r="H32" s="11"/>
    </row>
    <row r="33" spans="1:9" x14ac:dyDescent="0.35">
      <c r="A33" s="18">
        <v>10</v>
      </c>
      <c r="B33" s="18" t="s">
        <v>13</v>
      </c>
      <c r="C33" s="10">
        <v>0</v>
      </c>
      <c r="D33" s="10"/>
      <c r="E33" s="10">
        <f t="shared" si="4"/>
        <v>0</v>
      </c>
      <c r="F33" s="32">
        <v>0</v>
      </c>
      <c r="G33" s="11">
        <f t="shared" si="3"/>
        <v>0</v>
      </c>
      <c r="H33" s="11"/>
    </row>
    <row r="34" spans="1:9" x14ac:dyDescent="0.35">
      <c r="A34" s="18">
        <v>11</v>
      </c>
      <c r="B34" s="18" t="s">
        <v>10</v>
      </c>
      <c r="C34" s="10">
        <v>0</v>
      </c>
      <c r="D34" s="10"/>
      <c r="E34" s="10">
        <f t="shared" si="4"/>
        <v>0</v>
      </c>
      <c r="F34" s="32">
        <v>0</v>
      </c>
      <c r="G34" s="11">
        <f t="shared" si="3"/>
        <v>0</v>
      </c>
      <c r="H34" s="11"/>
    </row>
    <row r="35" spans="1:9" x14ac:dyDescent="0.35">
      <c r="A35" s="18">
        <v>12</v>
      </c>
      <c r="B35" s="18" t="s">
        <v>14</v>
      </c>
      <c r="C35" s="10">
        <v>0</v>
      </c>
      <c r="D35" s="10"/>
      <c r="E35" s="10">
        <f t="shared" si="4"/>
        <v>0</v>
      </c>
      <c r="F35" s="32">
        <v>0</v>
      </c>
      <c r="G35" s="11">
        <f t="shared" si="3"/>
        <v>0</v>
      </c>
      <c r="H35" s="11"/>
    </row>
    <row r="36" spans="1:9" x14ac:dyDescent="0.35">
      <c r="A36" s="18">
        <v>13</v>
      </c>
      <c r="B36" s="18" t="s">
        <v>11</v>
      </c>
      <c r="C36" s="10">
        <v>1075</v>
      </c>
      <c r="D36" s="10">
        <v>0</v>
      </c>
      <c r="E36" s="10">
        <f>C36+D36</f>
        <v>1075</v>
      </c>
      <c r="F36" s="32">
        <v>1075</v>
      </c>
      <c r="G36" s="11">
        <f>C36+D36-F36</f>
        <v>0</v>
      </c>
      <c r="H36" s="11" t="s">
        <v>53</v>
      </c>
      <c r="I36" s="4">
        <v>1075</v>
      </c>
    </row>
    <row r="37" spans="1:9" x14ac:dyDescent="0.35">
      <c r="A37" s="9"/>
      <c r="B37" s="9"/>
      <c r="C37" s="10"/>
      <c r="D37" s="10"/>
      <c r="E37" s="10"/>
      <c r="F37" s="9"/>
      <c r="G37" s="9"/>
      <c r="H37" s="9"/>
    </row>
    <row r="38" spans="1:9" ht="15" thickBot="1" x14ac:dyDescent="0.4">
      <c r="C38" s="7">
        <f>SUM(C24:C37)</f>
        <v>144775</v>
      </c>
      <c r="D38" s="7">
        <f>SUM(D24:D37)</f>
        <v>13770</v>
      </c>
      <c r="E38" s="7">
        <f>SUM(E24:E37)</f>
        <v>158545</v>
      </c>
      <c r="F38" s="7">
        <f t="shared" ref="F38:G38" si="6">SUM(F24:F37)</f>
        <v>13795</v>
      </c>
      <c r="G38" s="7">
        <f t="shared" si="6"/>
        <v>144750</v>
      </c>
      <c r="H38" s="7"/>
    </row>
    <row r="39" spans="1:9" ht="15" thickTop="1" x14ac:dyDescent="0.35"/>
    <row r="41" spans="1:9" x14ac:dyDescent="0.35">
      <c r="A41" s="13" t="s">
        <v>27</v>
      </c>
      <c r="B41" s="13"/>
      <c r="C41" s="12">
        <v>45717</v>
      </c>
      <c r="D41" s="14"/>
      <c r="E41" s="14"/>
      <c r="F41" s="13"/>
      <c r="G41" s="13"/>
      <c r="H41" s="13"/>
      <c r="I41" s="2"/>
    </row>
    <row r="42" spans="1:9" x14ac:dyDescent="0.35">
      <c r="A42" s="18"/>
      <c r="B42" s="18"/>
      <c r="C42" s="19" t="s">
        <v>16</v>
      </c>
      <c r="D42" s="20" t="s">
        <v>17</v>
      </c>
      <c r="E42" s="20" t="s">
        <v>52</v>
      </c>
      <c r="F42" s="18" t="s">
        <v>22</v>
      </c>
      <c r="G42" s="18" t="s">
        <v>23</v>
      </c>
      <c r="H42" s="18" t="s">
        <v>26</v>
      </c>
      <c r="I42" s="21" t="s">
        <v>31</v>
      </c>
    </row>
    <row r="43" spans="1:9" x14ac:dyDescent="0.35">
      <c r="A43" s="18" t="s">
        <v>1</v>
      </c>
      <c r="B43" s="18" t="s">
        <v>0</v>
      </c>
      <c r="C43" s="13"/>
      <c r="D43" s="13"/>
      <c r="E43" s="13"/>
      <c r="F43" s="13"/>
      <c r="G43" s="13"/>
      <c r="H43" s="13"/>
    </row>
    <row r="44" spans="1:9" x14ac:dyDescent="0.35">
      <c r="A44" s="18">
        <v>1</v>
      </c>
      <c r="B44" s="18" t="s">
        <v>2</v>
      </c>
      <c r="C44" s="10">
        <v>0</v>
      </c>
      <c r="D44" s="10">
        <v>0</v>
      </c>
      <c r="E44" s="10"/>
      <c r="F44" s="32">
        <v>0</v>
      </c>
      <c r="G44" s="11">
        <f>C44+D44-F44</f>
        <v>0</v>
      </c>
      <c r="H44" s="11"/>
    </row>
    <row r="45" spans="1:9" x14ac:dyDescent="0.35">
      <c r="A45" s="18">
        <v>2</v>
      </c>
      <c r="B45" s="18" t="s">
        <v>32</v>
      </c>
      <c r="C45" s="10">
        <v>0</v>
      </c>
      <c r="D45" s="10">
        <v>0</v>
      </c>
      <c r="E45" s="10"/>
      <c r="F45" s="32">
        <v>0</v>
      </c>
      <c r="G45" s="11">
        <f t="shared" ref="G45:G56" si="7">C45+D45-F45</f>
        <v>0</v>
      </c>
      <c r="H45" s="11"/>
    </row>
    <row r="46" spans="1:9" x14ac:dyDescent="0.35">
      <c r="A46" s="18">
        <v>3</v>
      </c>
      <c r="B46" s="18" t="s">
        <v>9</v>
      </c>
      <c r="C46" s="10">
        <f>G26</f>
        <v>8750</v>
      </c>
      <c r="D46" s="10">
        <v>0</v>
      </c>
      <c r="E46" s="10">
        <f>C46+D46</f>
        <v>8750</v>
      </c>
      <c r="F46" s="32">
        <f>Declarations!D63</f>
        <v>1150</v>
      </c>
      <c r="G46" s="11">
        <f t="shared" si="7"/>
        <v>7600</v>
      </c>
      <c r="H46" s="11" t="s">
        <v>29</v>
      </c>
      <c r="I46" s="4">
        <v>1150</v>
      </c>
    </row>
    <row r="47" spans="1:9" x14ac:dyDescent="0.35">
      <c r="A47" s="18">
        <v>4</v>
      </c>
      <c r="B47" s="18" t="s">
        <v>4</v>
      </c>
      <c r="C47" s="10">
        <f>G27</f>
        <v>38000</v>
      </c>
      <c r="D47" s="10">
        <v>0</v>
      </c>
      <c r="E47" s="10">
        <f>C47+D47</f>
        <v>38000</v>
      </c>
      <c r="F47" s="32">
        <f>Declarations!D64</f>
        <v>5500</v>
      </c>
      <c r="G47" s="11">
        <f t="shared" si="7"/>
        <v>32500</v>
      </c>
      <c r="H47" s="11" t="s">
        <v>30</v>
      </c>
      <c r="I47" s="4">
        <v>4600</v>
      </c>
    </row>
    <row r="48" spans="1:9" x14ac:dyDescent="0.35">
      <c r="A48" s="18">
        <v>4</v>
      </c>
      <c r="B48" s="18" t="s">
        <v>68</v>
      </c>
      <c r="C48" s="10">
        <v>5545</v>
      </c>
      <c r="D48" s="10">
        <f>C48*0.15</f>
        <v>831.75</v>
      </c>
      <c r="E48" s="10">
        <f>C48+D48</f>
        <v>6376.75</v>
      </c>
      <c r="F48" s="32">
        <f>Declarations!F64</f>
        <v>1000</v>
      </c>
      <c r="G48" s="11">
        <f t="shared" si="7"/>
        <v>5376.75</v>
      </c>
      <c r="H48" s="11" t="s">
        <v>29</v>
      </c>
      <c r="I48" s="4">
        <f>E48*0.1</f>
        <v>637.67500000000007</v>
      </c>
    </row>
    <row r="49" spans="1:9" x14ac:dyDescent="0.35">
      <c r="A49" s="18">
        <v>5</v>
      </c>
      <c r="B49" s="18" t="s">
        <v>5</v>
      </c>
      <c r="C49" s="10">
        <f>G28</f>
        <v>77000</v>
      </c>
      <c r="D49" s="10">
        <v>0</v>
      </c>
      <c r="E49" s="10">
        <f t="shared" ref="E49:E56" si="8">C49+D49</f>
        <v>77000</v>
      </c>
      <c r="F49" s="32">
        <f>Declarations!E65</f>
        <v>3500</v>
      </c>
      <c r="G49" s="11">
        <f t="shared" si="7"/>
        <v>73500</v>
      </c>
      <c r="H49" s="11" t="s">
        <v>54</v>
      </c>
      <c r="I49" s="4">
        <v>8050</v>
      </c>
    </row>
    <row r="50" spans="1:9" x14ac:dyDescent="0.35">
      <c r="A50" s="18">
        <v>6</v>
      </c>
      <c r="B50" s="18" t="s">
        <v>6</v>
      </c>
      <c r="C50" s="10">
        <f>G29</f>
        <v>0</v>
      </c>
      <c r="D50" s="10">
        <v>0</v>
      </c>
      <c r="E50" s="10">
        <f t="shared" si="8"/>
        <v>0</v>
      </c>
      <c r="F50" s="32">
        <v>0</v>
      </c>
      <c r="G50" s="11">
        <f t="shared" si="7"/>
        <v>0</v>
      </c>
      <c r="H50" s="11"/>
      <c r="I50" s="4"/>
    </row>
    <row r="51" spans="1:9" x14ac:dyDescent="0.35">
      <c r="A51" s="18">
        <v>7</v>
      </c>
      <c r="B51" s="18" t="s">
        <v>7</v>
      </c>
      <c r="C51" s="10">
        <f>G30</f>
        <v>0</v>
      </c>
      <c r="D51" s="10">
        <v>0</v>
      </c>
      <c r="E51" s="10">
        <f t="shared" si="8"/>
        <v>0</v>
      </c>
      <c r="F51" s="32">
        <v>0</v>
      </c>
      <c r="G51" s="11">
        <f t="shared" si="7"/>
        <v>0</v>
      </c>
      <c r="H51" s="11"/>
      <c r="I51" s="4"/>
    </row>
    <row r="52" spans="1:9" x14ac:dyDescent="0.35">
      <c r="A52" s="18">
        <v>8</v>
      </c>
      <c r="B52" s="18" t="s">
        <v>12</v>
      </c>
      <c r="C52" s="10">
        <f>G31</f>
        <v>21000</v>
      </c>
      <c r="D52" s="10">
        <v>0</v>
      </c>
      <c r="E52" s="10">
        <f t="shared" si="8"/>
        <v>21000</v>
      </c>
      <c r="F52" s="32">
        <f>Declarations!E68</f>
        <v>2300</v>
      </c>
      <c r="G52" s="11">
        <f t="shared" si="7"/>
        <v>18700</v>
      </c>
      <c r="H52" s="11" t="s">
        <v>54</v>
      </c>
      <c r="I52" s="4">
        <v>2300</v>
      </c>
    </row>
    <row r="53" spans="1:9" x14ac:dyDescent="0.35">
      <c r="A53" s="18">
        <v>9</v>
      </c>
      <c r="B53" s="18" t="s">
        <v>8</v>
      </c>
      <c r="C53" s="10">
        <v>55000</v>
      </c>
      <c r="D53" s="10">
        <f>C53*0.15</f>
        <v>8250</v>
      </c>
      <c r="E53" s="10">
        <f t="shared" si="8"/>
        <v>63250</v>
      </c>
      <c r="F53" s="32">
        <f>Declarations!F69</f>
        <v>2750</v>
      </c>
      <c r="G53" s="11">
        <f t="shared" si="7"/>
        <v>60500</v>
      </c>
      <c r="H53" s="11" t="s">
        <v>67</v>
      </c>
      <c r="I53" s="4">
        <f>G53/10</f>
        <v>6050</v>
      </c>
    </row>
    <row r="54" spans="1:9" x14ac:dyDescent="0.35">
      <c r="A54" s="18">
        <v>10</v>
      </c>
      <c r="B54" s="18" t="s">
        <v>13</v>
      </c>
      <c r="C54" s="10">
        <f>G33</f>
        <v>0</v>
      </c>
      <c r="D54" s="10"/>
      <c r="E54" s="10">
        <f t="shared" si="8"/>
        <v>0</v>
      </c>
      <c r="F54" s="32">
        <v>0</v>
      </c>
      <c r="G54" s="11">
        <f t="shared" si="7"/>
        <v>0</v>
      </c>
      <c r="H54" s="11"/>
    </row>
    <row r="55" spans="1:9" x14ac:dyDescent="0.35">
      <c r="A55" s="18">
        <v>11</v>
      </c>
      <c r="B55" s="18" t="s">
        <v>10</v>
      </c>
      <c r="C55" s="10">
        <f>G34</f>
        <v>0</v>
      </c>
      <c r="D55" s="10"/>
      <c r="E55" s="10">
        <f t="shared" si="8"/>
        <v>0</v>
      </c>
      <c r="F55" s="32">
        <v>0</v>
      </c>
      <c r="G55" s="11">
        <f t="shared" si="7"/>
        <v>0</v>
      </c>
      <c r="H55" s="11"/>
    </row>
    <row r="56" spans="1:9" x14ac:dyDescent="0.35">
      <c r="A56" s="18">
        <v>12</v>
      </c>
      <c r="B56" s="18" t="s">
        <v>14</v>
      </c>
      <c r="C56" s="10">
        <f>G35</f>
        <v>0</v>
      </c>
      <c r="D56" s="10"/>
      <c r="E56" s="10">
        <f t="shared" si="8"/>
        <v>0</v>
      </c>
      <c r="F56" s="32">
        <v>0</v>
      </c>
      <c r="G56" s="11">
        <f t="shared" si="7"/>
        <v>0</v>
      </c>
      <c r="H56" s="11"/>
    </row>
    <row r="57" spans="1:9" x14ac:dyDescent="0.35">
      <c r="A57" s="18">
        <v>13</v>
      </c>
      <c r="B57" s="18" t="s">
        <v>11</v>
      </c>
      <c r="C57" s="10">
        <f>G36</f>
        <v>0</v>
      </c>
      <c r="D57" s="10">
        <v>0</v>
      </c>
      <c r="E57" s="10">
        <f>C57+D57</f>
        <v>0</v>
      </c>
      <c r="F57" s="32">
        <v>0</v>
      </c>
      <c r="G57" s="11">
        <f>C57+D57-F57</f>
        <v>0</v>
      </c>
      <c r="H57" s="11"/>
      <c r="I57" s="4"/>
    </row>
    <row r="58" spans="1:9" x14ac:dyDescent="0.35">
      <c r="A58" s="9"/>
      <c r="B58" s="9"/>
      <c r="C58" s="10"/>
      <c r="D58" s="10"/>
      <c r="E58" s="10"/>
      <c r="F58" s="9"/>
      <c r="G58" s="9"/>
      <c r="H58" s="9"/>
    </row>
    <row r="59" spans="1:9" ht="15" thickBot="1" x14ac:dyDescent="0.4">
      <c r="C59" s="7">
        <f>SUM(C44:C58)</f>
        <v>205295</v>
      </c>
      <c r="D59" s="7">
        <f>SUM(D44:D58)</f>
        <v>9081.75</v>
      </c>
      <c r="E59" s="7">
        <f>SUM(E44:E58)</f>
        <v>214376.75</v>
      </c>
      <c r="F59" s="7">
        <f t="shared" ref="F59:G59" si="9">SUM(F44:F58)</f>
        <v>16200</v>
      </c>
      <c r="G59" s="7">
        <f t="shared" si="9"/>
        <v>198176.75</v>
      </c>
      <c r="H59" s="7"/>
    </row>
    <row r="60" spans="1:9" ht="15" thickTop="1" x14ac:dyDescent="0.35"/>
    <row r="62" spans="1:9" x14ac:dyDescent="0.35">
      <c r="A62" s="13" t="s">
        <v>27</v>
      </c>
      <c r="B62" s="13"/>
      <c r="C62" s="12">
        <v>45748</v>
      </c>
      <c r="D62" s="14"/>
      <c r="E62" s="14"/>
      <c r="F62" s="13"/>
      <c r="G62" s="13"/>
      <c r="H62" s="13"/>
      <c r="I62" s="2"/>
    </row>
    <row r="63" spans="1:9" x14ac:dyDescent="0.35">
      <c r="A63" s="18"/>
      <c r="B63" s="18"/>
      <c r="C63" s="19" t="s">
        <v>16</v>
      </c>
      <c r="D63" s="20" t="s">
        <v>17</v>
      </c>
      <c r="E63" s="20" t="s">
        <v>52</v>
      </c>
      <c r="F63" s="18" t="s">
        <v>22</v>
      </c>
      <c r="G63" s="18" t="s">
        <v>23</v>
      </c>
      <c r="H63" s="18" t="s">
        <v>26</v>
      </c>
      <c r="I63" s="21" t="s">
        <v>31</v>
      </c>
    </row>
    <row r="64" spans="1:9" x14ac:dyDescent="0.35">
      <c r="A64" s="18" t="s">
        <v>1</v>
      </c>
      <c r="B64" s="18" t="s">
        <v>0</v>
      </c>
      <c r="C64" s="13"/>
      <c r="D64" s="13"/>
      <c r="E64" s="13"/>
      <c r="F64" s="13"/>
      <c r="G64" s="13"/>
      <c r="H64" s="13"/>
    </row>
    <row r="65" spans="1:9" x14ac:dyDescent="0.35">
      <c r="A65" s="18">
        <v>1</v>
      </c>
      <c r="B65" s="18" t="s">
        <v>2</v>
      </c>
      <c r="C65" s="10">
        <f>G44</f>
        <v>0</v>
      </c>
      <c r="D65" s="10">
        <v>0</v>
      </c>
      <c r="E65" s="10">
        <f t="shared" ref="E65:E66" si="10">C65+D65</f>
        <v>0</v>
      </c>
      <c r="F65" s="32">
        <v>0</v>
      </c>
      <c r="G65" s="11">
        <f>C65+D65-F65</f>
        <v>0</v>
      </c>
      <c r="H65" s="11"/>
    </row>
    <row r="66" spans="1:9" x14ac:dyDescent="0.35">
      <c r="A66" s="18">
        <v>2</v>
      </c>
      <c r="B66" s="18" t="s">
        <v>32</v>
      </c>
      <c r="C66" s="10">
        <v>8000</v>
      </c>
      <c r="D66" s="10">
        <f>C66*0.15</f>
        <v>1200</v>
      </c>
      <c r="E66" s="10">
        <f t="shared" si="10"/>
        <v>9200</v>
      </c>
      <c r="F66" s="32">
        <f>Declarations!G81</f>
        <v>2000</v>
      </c>
      <c r="G66" s="11">
        <f t="shared" ref="G66:G77" si="11">C66+D66-F66</f>
        <v>7200</v>
      </c>
      <c r="H66" s="11" t="s">
        <v>67</v>
      </c>
      <c r="I66" s="1">
        <v>920</v>
      </c>
    </row>
    <row r="67" spans="1:9" x14ac:dyDescent="0.35">
      <c r="A67" s="18">
        <v>3</v>
      </c>
      <c r="B67" s="18" t="s">
        <v>9</v>
      </c>
      <c r="C67" s="10">
        <f t="shared" ref="C67:C78" si="12">G46</f>
        <v>7600</v>
      </c>
      <c r="D67" s="10">
        <v>0</v>
      </c>
      <c r="E67" s="10">
        <f>C67+D67</f>
        <v>7600</v>
      </c>
      <c r="F67" s="32">
        <f>Declarations!D82</f>
        <v>7600</v>
      </c>
      <c r="G67" s="11">
        <f t="shared" si="11"/>
        <v>0</v>
      </c>
      <c r="H67" s="11" t="s">
        <v>29</v>
      </c>
      <c r="I67" s="1">
        <v>7600</v>
      </c>
    </row>
    <row r="68" spans="1:9" x14ac:dyDescent="0.35">
      <c r="A68" s="18">
        <v>4</v>
      </c>
      <c r="B68" s="18" t="s">
        <v>4</v>
      </c>
      <c r="C68" s="10">
        <f t="shared" si="12"/>
        <v>32500</v>
      </c>
      <c r="D68" s="10">
        <v>0</v>
      </c>
      <c r="E68" s="10">
        <f>C68+D68</f>
        <v>32500</v>
      </c>
      <c r="F68" s="32">
        <f>Declarations!D83</f>
        <v>4600</v>
      </c>
      <c r="G68" s="11">
        <f t="shared" si="11"/>
        <v>27900</v>
      </c>
      <c r="H68" s="11" t="s">
        <v>30</v>
      </c>
      <c r="I68" s="1">
        <v>4600</v>
      </c>
    </row>
    <row r="69" spans="1:9" x14ac:dyDescent="0.35">
      <c r="A69" s="18">
        <v>4</v>
      </c>
      <c r="B69" s="18" t="s">
        <v>68</v>
      </c>
      <c r="C69" s="10">
        <f t="shared" si="12"/>
        <v>5376.75</v>
      </c>
      <c r="D69" s="10">
        <v>0</v>
      </c>
      <c r="E69" s="10">
        <f>C69+D69</f>
        <v>5376.75</v>
      </c>
      <c r="F69" s="32">
        <v>0</v>
      </c>
      <c r="G69" s="11">
        <f t="shared" si="11"/>
        <v>5376.75</v>
      </c>
      <c r="H69" s="11" t="s">
        <v>30</v>
      </c>
      <c r="I69" s="1">
        <f>E69*0.1</f>
        <v>537.67500000000007</v>
      </c>
    </row>
    <row r="70" spans="1:9" x14ac:dyDescent="0.35">
      <c r="A70" s="18">
        <v>5</v>
      </c>
      <c r="B70" s="18" t="s">
        <v>5</v>
      </c>
      <c r="C70" s="10">
        <f t="shared" si="12"/>
        <v>73500</v>
      </c>
      <c r="D70" s="10">
        <v>0</v>
      </c>
      <c r="E70" s="10">
        <f t="shared" ref="E70:E78" si="13">C70+D70</f>
        <v>73500</v>
      </c>
      <c r="F70" s="32">
        <f>Declarations!E84</f>
        <v>3500</v>
      </c>
      <c r="G70" s="11">
        <f t="shared" si="11"/>
        <v>70000</v>
      </c>
      <c r="H70" s="11" t="s">
        <v>54</v>
      </c>
      <c r="I70" s="1">
        <v>8050</v>
      </c>
    </row>
    <row r="71" spans="1:9" x14ac:dyDescent="0.35">
      <c r="A71" s="18">
        <v>6</v>
      </c>
      <c r="B71" s="18" t="s">
        <v>6</v>
      </c>
      <c r="C71" s="10">
        <f t="shared" si="12"/>
        <v>0</v>
      </c>
      <c r="D71" s="10">
        <v>0</v>
      </c>
      <c r="E71" s="10">
        <f t="shared" si="13"/>
        <v>0</v>
      </c>
      <c r="F71" s="32">
        <v>0</v>
      </c>
      <c r="G71" s="11">
        <f t="shared" si="11"/>
        <v>0</v>
      </c>
      <c r="H71" s="11"/>
      <c r="I71" s="1"/>
    </row>
    <row r="72" spans="1:9" x14ac:dyDescent="0.35">
      <c r="A72" s="18">
        <v>7</v>
      </c>
      <c r="B72" s="18" t="s">
        <v>7</v>
      </c>
      <c r="C72" s="10">
        <f t="shared" si="12"/>
        <v>0</v>
      </c>
      <c r="D72" s="10">
        <v>0</v>
      </c>
      <c r="E72" s="10">
        <f t="shared" si="13"/>
        <v>0</v>
      </c>
      <c r="F72" s="32">
        <v>0</v>
      </c>
      <c r="G72" s="11">
        <f t="shared" si="11"/>
        <v>0</v>
      </c>
      <c r="H72" s="11"/>
      <c r="I72" s="1"/>
    </row>
    <row r="73" spans="1:9" x14ac:dyDescent="0.35">
      <c r="A73" s="18">
        <v>8</v>
      </c>
      <c r="B73" s="18" t="s">
        <v>12</v>
      </c>
      <c r="C73" s="10">
        <f t="shared" si="12"/>
        <v>18700</v>
      </c>
      <c r="D73" s="10">
        <v>0</v>
      </c>
      <c r="E73" s="10">
        <f t="shared" si="13"/>
        <v>18700</v>
      </c>
      <c r="F73" s="32">
        <f>Declarations!E87</f>
        <v>2300</v>
      </c>
      <c r="G73" s="11">
        <f t="shared" si="11"/>
        <v>16400</v>
      </c>
      <c r="H73" s="11" t="s">
        <v>54</v>
      </c>
      <c r="I73" s="1">
        <v>2300</v>
      </c>
    </row>
    <row r="74" spans="1:9" x14ac:dyDescent="0.35">
      <c r="A74" s="18">
        <v>9</v>
      </c>
      <c r="B74" s="18" t="s">
        <v>8</v>
      </c>
      <c r="C74" s="10">
        <f t="shared" si="12"/>
        <v>60500</v>
      </c>
      <c r="D74" s="10">
        <v>0</v>
      </c>
      <c r="E74" s="10">
        <f t="shared" si="13"/>
        <v>60500</v>
      </c>
      <c r="F74" s="32">
        <f>Declarations!F88</f>
        <v>2850</v>
      </c>
      <c r="G74" s="11">
        <f t="shared" si="11"/>
        <v>57650</v>
      </c>
      <c r="H74" s="11" t="s">
        <v>67</v>
      </c>
      <c r="I74" s="1">
        <f>G74/10</f>
        <v>5765</v>
      </c>
    </row>
    <row r="75" spans="1:9" x14ac:dyDescent="0.35">
      <c r="A75" s="18">
        <v>10</v>
      </c>
      <c r="B75" s="18" t="s">
        <v>13</v>
      </c>
      <c r="C75" s="10">
        <v>20000</v>
      </c>
      <c r="D75" s="10">
        <f>C75*0.15</f>
        <v>3000</v>
      </c>
      <c r="E75" s="10">
        <f t="shared" si="13"/>
        <v>23000</v>
      </c>
      <c r="F75" s="32">
        <f>Declarations!G89</f>
        <v>5000</v>
      </c>
      <c r="G75" s="11">
        <f t="shared" si="11"/>
        <v>18000</v>
      </c>
      <c r="H75" s="11" t="s">
        <v>75</v>
      </c>
      <c r="I75" s="1">
        <v>2300</v>
      </c>
    </row>
    <row r="76" spans="1:9" x14ac:dyDescent="0.35">
      <c r="A76" s="18">
        <v>11</v>
      </c>
      <c r="B76" s="18" t="s">
        <v>10</v>
      </c>
      <c r="C76" s="10">
        <f t="shared" si="12"/>
        <v>0</v>
      </c>
      <c r="D76" s="10">
        <v>0</v>
      </c>
      <c r="E76" s="10">
        <f t="shared" si="13"/>
        <v>0</v>
      </c>
      <c r="F76" s="32">
        <v>0</v>
      </c>
      <c r="G76" s="11">
        <f t="shared" si="11"/>
        <v>0</v>
      </c>
      <c r="H76" s="11"/>
      <c r="I76" s="1"/>
    </row>
    <row r="77" spans="1:9" x14ac:dyDescent="0.35">
      <c r="A77" s="18">
        <v>12</v>
      </c>
      <c r="B77" s="18" t="s">
        <v>14</v>
      </c>
      <c r="C77" s="10">
        <v>3000</v>
      </c>
      <c r="D77" s="10">
        <f>C77*0.15</f>
        <v>450</v>
      </c>
      <c r="E77" s="10">
        <f t="shared" si="13"/>
        <v>3450</v>
      </c>
      <c r="F77" s="32">
        <f>Declarations!G91</f>
        <v>1150</v>
      </c>
      <c r="G77" s="11">
        <f t="shared" si="11"/>
        <v>2300</v>
      </c>
      <c r="H77" s="11" t="s">
        <v>30</v>
      </c>
      <c r="I77" s="1">
        <v>345</v>
      </c>
    </row>
    <row r="78" spans="1:9" x14ac:dyDescent="0.35">
      <c r="A78" s="18">
        <v>13</v>
      </c>
      <c r="B78" s="18" t="s">
        <v>11</v>
      </c>
      <c r="C78" s="10">
        <f t="shared" si="12"/>
        <v>0</v>
      </c>
      <c r="D78" s="10">
        <v>0</v>
      </c>
      <c r="E78" s="10">
        <f t="shared" si="13"/>
        <v>0</v>
      </c>
      <c r="F78" s="32">
        <v>0</v>
      </c>
      <c r="G78" s="11">
        <f>C78+D78-F78</f>
        <v>0</v>
      </c>
      <c r="H78" s="11"/>
      <c r="I78" s="4"/>
    </row>
    <row r="79" spans="1:9" x14ac:dyDescent="0.35">
      <c r="A79" s="9"/>
      <c r="B79" s="9"/>
      <c r="C79" s="10"/>
      <c r="D79" s="10"/>
      <c r="E79" s="10"/>
      <c r="F79" s="9"/>
      <c r="G79" s="9"/>
      <c r="H79" s="9"/>
    </row>
    <row r="80" spans="1:9" ht="15" thickBot="1" x14ac:dyDescent="0.4">
      <c r="C80" s="7">
        <f>SUM(C65:C79)</f>
        <v>229176.75</v>
      </c>
      <c r="D80" s="7">
        <f>SUM(D65:D79)</f>
        <v>4650</v>
      </c>
      <c r="E80" s="7">
        <f>SUM(E65:E79)</f>
        <v>233826.75</v>
      </c>
      <c r="F80" s="7">
        <f t="shared" ref="F80:G80" si="14">SUM(F65:F79)</f>
        <v>29000</v>
      </c>
      <c r="G80" s="7">
        <f t="shared" si="14"/>
        <v>204826.75</v>
      </c>
      <c r="H80" s="7"/>
    </row>
    <row r="81" spans="1:9" ht="15" thickTop="1" x14ac:dyDescent="0.35"/>
    <row r="83" spans="1:9" x14ac:dyDescent="0.35">
      <c r="A83" s="13" t="s">
        <v>27</v>
      </c>
      <c r="B83" s="13"/>
      <c r="C83" s="12">
        <v>45778</v>
      </c>
      <c r="D83" s="14"/>
      <c r="E83" s="14"/>
      <c r="F83" s="13"/>
      <c r="G83" s="13"/>
      <c r="H83" s="13"/>
      <c r="I83" s="2"/>
    </row>
    <row r="84" spans="1:9" x14ac:dyDescent="0.35">
      <c r="A84" s="18"/>
      <c r="B84" s="18"/>
      <c r="C84" s="19" t="s">
        <v>16</v>
      </c>
      <c r="D84" s="20" t="s">
        <v>17</v>
      </c>
      <c r="E84" s="20" t="s">
        <v>52</v>
      </c>
      <c r="F84" s="18" t="s">
        <v>22</v>
      </c>
      <c r="G84" s="18" t="s">
        <v>23</v>
      </c>
      <c r="H84" s="18" t="s">
        <v>26</v>
      </c>
      <c r="I84" s="21" t="s">
        <v>31</v>
      </c>
    </row>
    <row r="85" spans="1:9" x14ac:dyDescent="0.35">
      <c r="A85" s="18" t="s">
        <v>1</v>
      </c>
      <c r="B85" s="18" t="s">
        <v>0</v>
      </c>
      <c r="C85" s="13"/>
      <c r="D85" s="13"/>
      <c r="E85" s="13"/>
      <c r="F85" s="13"/>
      <c r="G85" s="13"/>
      <c r="H85" s="13"/>
    </row>
    <row r="86" spans="1:9" x14ac:dyDescent="0.35">
      <c r="A86" s="18">
        <v>1</v>
      </c>
      <c r="B86" s="18" t="s">
        <v>2</v>
      </c>
      <c r="C86" s="10">
        <f>G65</f>
        <v>0</v>
      </c>
      <c r="D86" s="10">
        <v>0</v>
      </c>
      <c r="E86" s="10">
        <f t="shared" ref="E86:E87" si="15">C86+D86</f>
        <v>0</v>
      </c>
      <c r="F86" s="32">
        <v>0</v>
      </c>
      <c r="G86" s="11">
        <f>C86+D86-F86</f>
        <v>0</v>
      </c>
      <c r="H86" s="11"/>
    </row>
    <row r="87" spans="1:9" x14ac:dyDescent="0.35">
      <c r="A87" s="18">
        <v>2</v>
      </c>
      <c r="B87" s="18" t="s">
        <v>32</v>
      </c>
      <c r="C87" s="10">
        <f t="shared" ref="C87:C99" si="16">G66</f>
        <v>7200</v>
      </c>
      <c r="D87" s="10">
        <v>0</v>
      </c>
      <c r="E87" s="10">
        <f t="shared" si="15"/>
        <v>7200</v>
      </c>
      <c r="F87" s="32">
        <f>Declarations!G99</f>
        <v>2950</v>
      </c>
      <c r="G87" s="11">
        <f t="shared" ref="G87:G98" si="17">C87+D87-F87</f>
        <v>4250</v>
      </c>
      <c r="H87" s="11" t="s">
        <v>67</v>
      </c>
      <c r="I87" s="1">
        <v>920</v>
      </c>
    </row>
    <row r="88" spans="1:9" x14ac:dyDescent="0.35">
      <c r="A88" s="18">
        <v>3</v>
      </c>
      <c r="B88" s="18" t="s">
        <v>9</v>
      </c>
      <c r="C88" s="10">
        <v>40000</v>
      </c>
      <c r="D88" s="10">
        <f>C88*0.15</f>
        <v>6000</v>
      </c>
      <c r="E88" s="10">
        <f>C88+D88</f>
        <v>46000</v>
      </c>
      <c r="F88" s="32">
        <f>Declarations!H100</f>
        <v>4600</v>
      </c>
      <c r="G88" s="11">
        <f t="shared" si="17"/>
        <v>41400</v>
      </c>
      <c r="H88" s="11" t="s">
        <v>85</v>
      </c>
      <c r="I88" s="1">
        <v>4600</v>
      </c>
    </row>
    <row r="89" spans="1:9" x14ac:dyDescent="0.35">
      <c r="A89" s="18">
        <v>4</v>
      </c>
      <c r="B89" s="18" t="s">
        <v>4</v>
      </c>
      <c r="C89" s="10">
        <f t="shared" si="16"/>
        <v>27900</v>
      </c>
      <c r="D89" s="10">
        <v>0</v>
      </c>
      <c r="E89" s="10">
        <f>C89+D89</f>
        <v>27900</v>
      </c>
      <c r="F89" s="32">
        <f>Declarations!D101</f>
        <v>27900</v>
      </c>
      <c r="G89" s="11">
        <f t="shared" si="17"/>
        <v>0</v>
      </c>
      <c r="H89" s="11" t="s">
        <v>30</v>
      </c>
      <c r="I89" s="1">
        <v>27900</v>
      </c>
    </row>
    <row r="90" spans="1:9" x14ac:dyDescent="0.35">
      <c r="A90" s="18">
        <v>4</v>
      </c>
      <c r="B90" s="18" t="s">
        <v>68</v>
      </c>
      <c r="C90" s="10">
        <f t="shared" si="16"/>
        <v>5376.75</v>
      </c>
      <c r="D90" s="10">
        <v>0</v>
      </c>
      <c r="E90" s="10">
        <f>C90+D90</f>
        <v>5376.75</v>
      </c>
      <c r="F90" s="32">
        <f>Declarations!F101</f>
        <v>5376.75</v>
      </c>
      <c r="G90" s="11">
        <f t="shared" si="17"/>
        <v>0</v>
      </c>
      <c r="H90" s="11" t="s">
        <v>30</v>
      </c>
      <c r="I90" s="1">
        <v>5376.75</v>
      </c>
    </row>
    <row r="91" spans="1:9" x14ac:dyDescent="0.35">
      <c r="A91" s="18">
        <v>5</v>
      </c>
      <c r="B91" s="18" t="s">
        <v>5</v>
      </c>
      <c r="C91" s="10">
        <f t="shared" si="16"/>
        <v>70000</v>
      </c>
      <c r="D91" s="10">
        <v>0</v>
      </c>
      <c r="E91" s="10">
        <f t="shared" ref="E91:E99" si="18">C91+D91</f>
        <v>70000</v>
      </c>
      <c r="F91" s="32">
        <f>Declarations!E102</f>
        <v>3500</v>
      </c>
      <c r="G91" s="11">
        <f t="shared" si="17"/>
        <v>66500</v>
      </c>
      <c r="H91" s="11" t="s">
        <v>54</v>
      </c>
      <c r="I91" s="1">
        <v>8050</v>
      </c>
    </row>
    <row r="92" spans="1:9" x14ac:dyDescent="0.35">
      <c r="A92" s="18">
        <v>6</v>
      </c>
      <c r="B92" s="18" t="s">
        <v>6</v>
      </c>
      <c r="C92" s="10">
        <v>19100</v>
      </c>
      <c r="D92" s="10">
        <f>C92*0.15</f>
        <v>2865</v>
      </c>
      <c r="E92" s="10">
        <f t="shared" si="18"/>
        <v>21965</v>
      </c>
      <c r="F92" s="32">
        <f>Declarations!H103</f>
        <v>2100</v>
      </c>
      <c r="G92" s="11">
        <f t="shared" si="17"/>
        <v>19865</v>
      </c>
      <c r="H92" s="11" t="s">
        <v>85</v>
      </c>
      <c r="I92" s="1">
        <v>2098</v>
      </c>
    </row>
    <row r="93" spans="1:9" x14ac:dyDescent="0.35">
      <c r="A93" s="18">
        <v>7</v>
      </c>
      <c r="B93" s="18" t="s">
        <v>7</v>
      </c>
      <c r="C93" s="10">
        <f t="shared" si="16"/>
        <v>0</v>
      </c>
      <c r="D93" s="10">
        <v>0</v>
      </c>
      <c r="E93" s="10">
        <f t="shared" si="18"/>
        <v>0</v>
      </c>
      <c r="F93" s="32">
        <v>0</v>
      </c>
      <c r="G93" s="11">
        <f t="shared" si="17"/>
        <v>0</v>
      </c>
      <c r="H93" s="11"/>
      <c r="I93" s="1"/>
    </row>
    <row r="94" spans="1:9" x14ac:dyDescent="0.35">
      <c r="A94" s="18">
        <v>8</v>
      </c>
      <c r="B94" s="18" t="s">
        <v>12</v>
      </c>
      <c r="C94" s="10">
        <f t="shared" si="16"/>
        <v>16400</v>
      </c>
      <c r="D94" s="10">
        <v>0</v>
      </c>
      <c r="E94" s="10">
        <f t="shared" si="18"/>
        <v>16400</v>
      </c>
      <c r="F94" s="32">
        <f>Declarations!E105</f>
        <v>2300</v>
      </c>
      <c r="G94" s="11">
        <f t="shared" si="17"/>
        <v>14100</v>
      </c>
      <c r="H94" s="11" t="s">
        <v>54</v>
      </c>
      <c r="I94" s="1">
        <v>2300</v>
      </c>
    </row>
    <row r="95" spans="1:9" x14ac:dyDescent="0.35">
      <c r="A95" s="18">
        <v>9</v>
      </c>
      <c r="B95" s="18" t="s">
        <v>8</v>
      </c>
      <c r="C95" s="10">
        <f t="shared" si="16"/>
        <v>57650</v>
      </c>
      <c r="D95" s="10">
        <v>0</v>
      </c>
      <c r="E95" s="10">
        <f t="shared" si="18"/>
        <v>57650</v>
      </c>
      <c r="F95" s="32">
        <f>Declarations!F106</f>
        <v>5000</v>
      </c>
      <c r="G95" s="11">
        <f t="shared" si="17"/>
        <v>52650</v>
      </c>
      <c r="H95" s="11" t="s">
        <v>67</v>
      </c>
      <c r="I95" s="1">
        <v>3025</v>
      </c>
    </row>
    <row r="96" spans="1:9" x14ac:dyDescent="0.35">
      <c r="A96" s="18">
        <v>10</v>
      </c>
      <c r="B96" s="18" t="s">
        <v>13</v>
      </c>
      <c r="C96" s="10">
        <f t="shared" si="16"/>
        <v>18000</v>
      </c>
      <c r="D96" s="10">
        <v>0</v>
      </c>
      <c r="E96" s="10">
        <f t="shared" si="18"/>
        <v>18000</v>
      </c>
      <c r="F96" s="32">
        <f>Declarations!G107</f>
        <v>5350</v>
      </c>
      <c r="G96" s="11">
        <f t="shared" si="17"/>
        <v>12650</v>
      </c>
      <c r="H96" s="11" t="s">
        <v>75</v>
      </c>
      <c r="I96" s="1">
        <v>2300</v>
      </c>
    </row>
    <row r="97" spans="1:9" x14ac:dyDescent="0.35">
      <c r="A97" s="18">
        <v>11</v>
      </c>
      <c r="B97" s="18" t="s">
        <v>10</v>
      </c>
      <c r="C97" s="10">
        <f t="shared" si="16"/>
        <v>0</v>
      </c>
      <c r="D97" s="10">
        <v>0</v>
      </c>
      <c r="E97" s="10">
        <f t="shared" si="18"/>
        <v>0</v>
      </c>
      <c r="F97" s="32">
        <f>0</f>
        <v>0</v>
      </c>
      <c r="G97" s="11">
        <f t="shared" si="17"/>
        <v>0</v>
      </c>
      <c r="H97" s="11"/>
      <c r="I97" s="1"/>
    </row>
    <row r="98" spans="1:9" x14ac:dyDescent="0.35">
      <c r="A98" s="18">
        <v>12</v>
      </c>
      <c r="B98" s="18" t="s">
        <v>14</v>
      </c>
      <c r="C98" s="10">
        <f t="shared" si="16"/>
        <v>2300</v>
      </c>
      <c r="D98" s="10">
        <v>0</v>
      </c>
      <c r="E98" s="10">
        <f t="shared" si="18"/>
        <v>2300</v>
      </c>
      <c r="F98" s="32">
        <f>Declarations!G109</f>
        <v>1150</v>
      </c>
      <c r="G98" s="11">
        <f t="shared" si="17"/>
        <v>1150</v>
      </c>
      <c r="H98" s="11" t="s">
        <v>54</v>
      </c>
      <c r="I98" s="1">
        <v>2300</v>
      </c>
    </row>
    <row r="99" spans="1:9" x14ac:dyDescent="0.35">
      <c r="A99" s="18">
        <v>13</v>
      </c>
      <c r="B99" s="18" t="s">
        <v>11</v>
      </c>
      <c r="C99" s="10">
        <f t="shared" si="16"/>
        <v>0</v>
      </c>
      <c r="D99" s="10">
        <v>0</v>
      </c>
      <c r="E99" s="10">
        <f t="shared" si="18"/>
        <v>0</v>
      </c>
      <c r="F99" s="32">
        <v>0</v>
      </c>
      <c r="G99" s="11">
        <f>C99+D99-F99</f>
        <v>0</v>
      </c>
      <c r="H99" s="11"/>
      <c r="I99" s="4"/>
    </row>
    <row r="100" spans="1:9" x14ac:dyDescent="0.35">
      <c r="A100" s="9"/>
      <c r="B100" s="9"/>
      <c r="C100" s="10"/>
      <c r="D100" s="10"/>
      <c r="E100" s="10"/>
      <c r="F100" s="9"/>
      <c r="G100" s="9"/>
      <c r="H100" s="9"/>
    </row>
    <row r="101" spans="1:9" ht="15" thickBot="1" x14ac:dyDescent="0.4">
      <c r="C101" s="7">
        <f>SUM(C86:C100)</f>
        <v>263926.75</v>
      </c>
      <c r="D101" s="7">
        <f>SUM(D86:D100)</f>
        <v>8865</v>
      </c>
      <c r="E101" s="7">
        <f>SUM(E86:E100)</f>
        <v>272791.75</v>
      </c>
      <c r="F101" s="7">
        <f t="shared" ref="F101:G101" si="19">SUM(F86:F100)</f>
        <v>60226.75</v>
      </c>
      <c r="G101" s="7">
        <f t="shared" si="19"/>
        <v>212565</v>
      </c>
      <c r="H101" s="7"/>
    </row>
    <row r="102" spans="1:9" ht="15" thickTop="1" x14ac:dyDescent="0.35"/>
    <row r="105" spans="1:9" x14ac:dyDescent="0.35">
      <c r="A105" s="13" t="s">
        <v>27</v>
      </c>
      <c r="B105" s="13"/>
      <c r="C105" s="12">
        <v>45809</v>
      </c>
      <c r="D105" s="14"/>
      <c r="E105" s="14"/>
      <c r="F105" s="13"/>
      <c r="G105" s="13"/>
      <c r="H105" s="13"/>
      <c r="I105" s="2"/>
    </row>
    <row r="106" spans="1:9" x14ac:dyDescent="0.35">
      <c r="A106" s="18"/>
      <c r="B106" s="18"/>
      <c r="C106" s="19" t="s">
        <v>16</v>
      </c>
      <c r="D106" s="20" t="s">
        <v>17</v>
      </c>
      <c r="E106" s="20" t="s">
        <v>52</v>
      </c>
      <c r="F106" s="18" t="s">
        <v>22</v>
      </c>
      <c r="G106" s="18" t="s">
        <v>23</v>
      </c>
      <c r="H106" s="18" t="s">
        <v>26</v>
      </c>
      <c r="I106" s="21" t="s">
        <v>31</v>
      </c>
    </row>
    <row r="107" spans="1:9" x14ac:dyDescent="0.35">
      <c r="A107" s="18" t="s">
        <v>1</v>
      </c>
      <c r="B107" s="18" t="s">
        <v>0</v>
      </c>
      <c r="C107" s="13"/>
      <c r="D107" s="13"/>
      <c r="E107" s="13"/>
      <c r="F107" s="13"/>
      <c r="G107" s="13"/>
      <c r="H107" s="13"/>
    </row>
    <row r="108" spans="1:9" x14ac:dyDescent="0.35">
      <c r="A108" s="18">
        <v>1</v>
      </c>
      <c r="B108" s="18" t="s">
        <v>2</v>
      </c>
      <c r="C108" s="10">
        <f>G86</f>
        <v>0</v>
      </c>
      <c r="D108" s="10">
        <v>0</v>
      </c>
      <c r="E108" s="10">
        <f t="shared" ref="E108" si="20">C108+D108</f>
        <v>0</v>
      </c>
      <c r="F108" s="32">
        <v>0</v>
      </c>
      <c r="G108" s="11">
        <f>C108+D108-F108</f>
        <v>0</v>
      </c>
      <c r="H108" s="11"/>
    </row>
    <row r="109" spans="1:9" x14ac:dyDescent="0.35">
      <c r="A109" s="18">
        <v>2</v>
      </c>
      <c r="B109" s="18" t="s">
        <v>32</v>
      </c>
      <c r="C109" s="10">
        <f t="shared" ref="C109:C110" si="21">G87</f>
        <v>4250</v>
      </c>
      <c r="D109" s="10">
        <v>0</v>
      </c>
      <c r="E109" s="10">
        <f t="shared" ref="E109:E110" si="22">C109+D109</f>
        <v>4250</v>
      </c>
      <c r="F109" s="32">
        <f>Declarations!G119</f>
        <v>4250</v>
      </c>
      <c r="G109" s="11">
        <f>C109+D109-F109</f>
        <v>0</v>
      </c>
      <c r="H109" s="11" t="s">
        <v>67</v>
      </c>
      <c r="I109" s="1">
        <v>920</v>
      </c>
    </row>
    <row r="110" spans="1:9" x14ac:dyDescent="0.35">
      <c r="A110" s="18">
        <v>3</v>
      </c>
      <c r="B110" s="18" t="s">
        <v>9</v>
      </c>
      <c r="C110" s="10">
        <f t="shared" si="21"/>
        <v>41400</v>
      </c>
      <c r="D110" s="10">
        <v>0</v>
      </c>
      <c r="E110" s="10">
        <f t="shared" si="22"/>
        <v>41400</v>
      </c>
      <c r="F110" s="32">
        <f>Declarations!H120</f>
        <v>4600</v>
      </c>
      <c r="G110" s="11">
        <f t="shared" ref="G110:G121" si="23">C110+D110-F110</f>
        <v>36800</v>
      </c>
      <c r="H110" s="11" t="s">
        <v>85</v>
      </c>
      <c r="I110" s="1">
        <v>4600</v>
      </c>
    </row>
    <row r="111" spans="1:9" x14ac:dyDescent="0.35">
      <c r="A111" s="18">
        <v>4</v>
      </c>
      <c r="B111" s="18" t="s">
        <v>4</v>
      </c>
      <c r="C111" s="10">
        <f>'Loans disbursed'!H7</f>
        <v>68926.75</v>
      </c>
      <c r="D111" s="10">
        <f>C111*0.15</f>
        <v>10339.012499999999</v>
      </c>
      <c r="E111" s="10">
        <f>C111+D111</f>
        <v>79265.762499999997</v>
      </c>
      <c r="F111" s="32">
        <f>Declarations!H121</f>
        <v>4500</v>
      </c>
      <c r="G111" s="11">
        <f t="shared" si="23"/>
        <v>74765.762499999997</v>
      </c>
      <c r="H111" s="11" t="s">
        <v>92</v>
      </c>
      <c r="I111" s="1">
        <v>3900</v>
      </c>
    </row>
    <row r="112" spans="1:9" x14ac:dyDescent="0.35">
      <c r="A112" s="18">
        <v>5</v>
      </c>
      <c r="B112" s="18" t="s">
        <v>5</v>
      </c>
      <c r="C112" s="10">
        <f>G91</f>
        <v>66500</v>
      </c>
      <c r="D112" s="10">
        <v>0</v>
      </c>
      <c r="E112" s="10">
        <f>C112+D112</f>
        <v>66500</v>
      </c>
      <c r="F112" s="32">
        <f>Declarations!E122</f>
        <v>3500</v>
      </c>
      <c r="G112" s="11">
        <f t="shared" si="23"/>
        <v>63000</v>
      </c>
      <c r="H112" s="11" t="s">
        <v>54</v>
      </c>
      <c r="I112" s="1">
        <v>3500</v>
      </c>
    </row>
    <row r="113" spans="1:14" x14ac:dyDescent="0.35">
      <c r="A113" s="18">
        <v>6</v>
      </c>
      <c r="B113" s="18" t="s">
        <v>6</v>
      </c>
      <c r="C113" s="10">
        <f>G92</f>
        <v>19865</v>
      </c>
      <c r="D113" s="10">
        <v>0</v>
      </c>
      <c r="E113" s="10">
        <f t="shared" ref="E113:E121" si="24">C113+D113</f>
        <v>19865</v>
      </c>
      <c r="F113" s="32">
        <f>Declarations!H123</f>
        <v>2100</v>
      </c>
      <c r="G113" s="11">
        <f t="shared" si="23"/>
        <v>17765</v>
      </c>
      <c r="H113" s="11" t="s">
        <v>85</v>
      </c>
      <c r="I113" s="1">
        <v>2098</v>
      </c>
    </row>
    <row r="114" spans="1:14" x14ac:dyDescent="0.35">
      <c r="A114" s="18">
        <v>7</v>
      </c>
      <c r="B114" s="18" t="s">
        <v>7</v>
      </c>
      <c r="C114" s="10">
        <f>G93</f>
        <v>0</v>
      </c>
      <c r="D114" s="10">
        <f>C114*0.15</f>
        <v>0</v>
      </c>
      <c r="E114" s="10">
        <f t="shared" si="24"/>
        <v>0</v>
      </c>
      <c r="F114" s="32">
        <v>0</v>
      </c>
      <c r="G114" s="11">
        <f t="shared" si="23"/>
        <v>0</v>
      </c>
      <c r="H114" s="11"/>
      <c r="I114" s="1"/>
    </row>
    <row r="115" spans="1:14" x14ac:dyDescent="0.35">
      <c r="A115" s="18">
        <v>8</v>
      </c>
      <c r="B115" s="18" t="s">
        <v>12</v>
      </c>
      <c r="C115" s="10">
        <f>G94</f>
        <v>14100</v>
      </c>
      <c r="D115" s="10">
        <v>0</v>
      </c>
      <c r="E115" s="10">
        <f t="shared" si="24"/>
        <v>14100</v>
      </c>
      <c r="F115" s="32">
        <f>Declarations!E125</f>
        <v>14100</v>
      </c>
      <c r="G115" s="11">
        <f t="shared" si="23"/>
        <v>0</v>
      </c>
      <c r="H115" s="11" t="s">
        <v>54</v>
      </c>
      <c r="I115" s="1">
        <v>14100</v>
      </c>
    </row>
    <row r="116" spans="1:14" x14ac:dyDescent="0.35">
      <c r="A116" s="18">
        <v>8</v>
      </c>
      <c r="B116" s="18" t="s">
        <v>91</v>
      </c>
      <c r="C116" s="10">
        <f>'Loans disbursed'!H11</f>
        <v>10000</v>
      </c>
      <c r="D116" s="10">
        <f>C116*0.15</f>
        <v>1500</v>
      </c>
      <c r="E116" s="10">
        <f t="shared" si="24"/>
        <v>11500</v>
      </c>
      <c r="F116" s="32">
        <f>Declarations!I125</f>
        <v>1150</v>
      </c>
      <c r="G116" s="11">
        <f t="shared" si="23"/>
        <v>10350</v>
      </c>
      <c r="H116" s="11" t="s">
        <v>85</v>
      </c>
      <c r="I116" s="1">
        <v>1150</v>
      </c>
    </row>
    <row r="117" spans="1:14" x14ac:dyDescent="0.35">
      <c r="A117" s="18">
        <v>9</v>
      </c>
      <c r="B117" s="18" t="s">
        <v>8</v>
      </c>
      <c r="C117" s="10">
        <f>G95</f>
        <v>52650</v>
      </c>
      <c r="D117" s="10">
        <v>0</v>
      </c>
      <c r="E117" s="10">
        <f t="shared" si="24"/>
        <v>52650</v>
      </c>
      <c r="F117" s="32">
        <f>Declarations!F126</f>
        <v>7500</v>
      </c>
      <c r="G117" s="11">
        <f t="shared" si="23"/>
        <v>45150</v>
      </c>
      <c r="H117" s="11" t="s">
        <v>67</v>
      </c>
      <c r="I117" s="1">
        <v>3025</v>
      </c>
    </row>
    <row r="118" spans="1:14" x14ac:dyDescent="0.35">
      <c r="A118" s="18">
        <v>10</v>
      </c>
      <c r="B118" s="18" t="s">
        <v>13</v>
      </c>
      <c r="C118" s="10">
        <f>G96</f>
        <v>12650</v>
      </c>
      <c r="D118" s="10">
        <v>0</v>
      </c>
      <c r="E118" s="10">
        <f t="shared" si="24"/>
        <v>12650</v>
      </c>
      <c r="F118" s="32">
        <f>Declarations!G127</f>
        <v>4350</v>
      </c>
      <c r="G118" s="11">
        <f t="shared" si="23"/>
        <v>8300</v>
      </c>
      <c r="H118" s="11" t="s">
        <v>75</v>
      </c>
      <c r="I118" s="1">
        <v>12650</v>
      </c>
    </row>
    <row r="119" spans="1:14" x14ac:dyDescent="0.35">
      <c r="A119" s="18">
        <v>11</v>
      </c>
      <c r="B119" s="18" t="s">
        <v>10</v>
      </c>
      <c r="C119" s="10">
        <f>G97</f>
        <v>0</v>
      </c>
      <c r="D119" s="10">
        <v>0</v>
      </c>
      <c r="E119" s="10">
        <f t="shared" si="24"/>
        <v>0</v>
      </c>
      <c r="F119" s="32">
        <f>Declarations!G133</f>
        <v>0</v>
      </c>
      <c r="G119" s="11">
        <f>C119+D119-F119</f>
        <v>0</v>
      </c>
      <c r="H119" s="11"/>
      <c r="I119" s="1"/>
    </row>
    <row r="120" spans="1:14" x14ac:dyDescent="0.35">
      <c r="A120" s="18">
        <v>12</v>
      </c>
      <c r="B120" s="18" t="s">
        <v>14</v>
      </c>
      <c r="C120" s="10">
        <f>G98</f>
        <v>1150</v>
      </c>
      <c r="D120" s="10">
        <v>0</v>
      </c>
      <c r="E120" s="10">
        <f t="shared" si="24"/>
        <v>1150</v>
      </c>
      <c r="F120" s="32">
        <f>Declarations!G129</f>
        <v>1150</v>
      </c>
      <c r="G120" s="11">
        <f t="shared" si="23"/>
        <v>0</v>
      </c>
      <c r="H120" s="11" t="s">
        <v>54</v>
      </c>
      <c r="I120" s="1">
        <v>1150</v>
      </c>
    </row>
    <row r="121" spans="1:14" x14ac:dyDescent="0.35">
      <c r="A121" s="18">
        <v>13</v>
      </c>
      <c r="B121" s="18" t="s">
        <v>11</v>
      </c>
      <c r="C121" s="10">
        <f>G99</f>
        <v>0</v>
      </c>
      <c r="D121" s="10">
        <v>0</v>
      </c>
      <c r="E121" s="10">
        <f t="shared" si="24"/>
        <v>0</v>
      </c>
      <c r="F121" s="32">
        <f>Declarations!G135</f>
        <v>0</v>
      </c>
      <c r="G121" s="11">
        <f t="shared" si="23"/>
        <v>0</v>
      </c>
      <c r="H121" s="11"/>
    </row>
    <row r="122" spans="1:14" x14ac:dyDescent="0.35">
      <c r="A122" s="9"/>
      <c r="B122" s="9"/>
      <c r="C122" s="10"/>
      <c r="D122" s="10"/>
      <c r="E122" s="10"/>
      <c r="F122" s="9"/>
      <c r="G122" s="9"/>
      <c r="H122" s="11"/>
      <c r="I122" s="4"/>
    </row>
    <row r="123" spans="1:14" ht="15" thickBot="1" x14ac:dyDescent="0.4">
      <c r="C123" s="7">
        <f>SUM(C108:C122)</f>
        <v>291491.75</v>
      </c>
      <c r="D123" s="7">
        <f>SUM(D108:D122)</f>
        <v>11839.012499999999</v>
      </c>
      <c r="E123" s="7">
        <f>SUM(E108:E122)</f>
        <v>303330.76250000001</v>
      </c>
      <c r="F123" s="7">
        <f>SUM(F108:F122)</f>
        <v>47200</v>
      </c>
      <c r="G123" s="7">
        <f>SUM(G108:G122)</f>
        <v>256130.76250000001</v>
      </c>
      <c r="H123" s="7"/>
      <c r="L123" s="4"/>
      <c r="N123" s="4"/>
    </row>
    <row r="124" spans="1:14" ht="15" thickTop="1" x14ac:dyDescent="0.35">
      <c r="N124" s="4"/>
    </row>
    <row r="125" spans="1:14" x14ac:dyDescent="0.35">
      <c r="N125" s="4"/>
    </row>
    <row r="126" spans="1:14" x14ac:dyDescent="0.35">
      <c r="A126" s="13" t="s">
        <v>27</v>
      </c>
      <c r="B126" s="13"/>
      <c r="C126" s="12">
        <v>45839</v>
      </c>
      <c r="D126" s="14"/>
      <c r="E126" s="14"/>
      <c r="F126" s="13"/>
      <c r="G126" s="13"/>
      <c r="H126" s="13"/>
      <c r="I126" s="2"/>
    </row>
    <row r="127" spans="1:14" x14ac:dyDescent="0.35">
      <c r="A127" s="18"/>
      <c r="B127" s="18"/>
      <c r="C127" s="19" t="s">
        <v>16</v>
      </c>
      <c r="D127" s="20" t="s">
        <v>17</v>
      </c>
      <c r="E127" s="20" t="s">
        <v>52</v>
      </c>
      <c r="F127" s="18" t="s">
        <v>22</v>
      </c>
      <c r="G127" s="18" t="s">
        <v>23</v>
      </c>
      <c r="H127" s="18" t="s">
        <v>26</v>
      </c>
      <c r="I127" s="21" t="s">
        <v>31</v>
      </c>
    </row>
    <row r="128" spans="1:14" x14ac:dyDescent="0.35">
      <c r="A128" s="18" t="s">
        <v>1</v>
      </c>
      <c r="B128" s="18" t="s">
        <v>0</v>
      </c>
      <c r="C128" s="13"/>
      <c r="D128" s="13"/>
      <c r="E128" s="13"/>
      <c r="F128" s="13"/>
      <c r="G128" s="13"/>
      <c r="H128" s="13"/>
    </row>
    <row r="129" spans="1:10" x14ac:dyDescent="0.35">
      <c r="A129" s="18">
        <v>1</v>
      </c>
      <c r="B129" s="18" t="s">
        <v>2</v>
      </c>
      <c r="C129" s="10">
        <f>G108</f>
        <v>0</v>
      </c>
      <c r="D129" s="10">
        <v>0</v>
      </c>
      <c r="E129" s="10">
        <f t="shared" ref="E129:E131" si="25">C129+D129</f>
        <v>0</v>
      </c>
      <c r="F129" s="32">
        <v>0</v>
      </c>
      <c r="G129" s="11">
        <f>C129+D129-F129</f>
        <v>0</v>
      </c>
      <c r="H129" s="11"/>
    </row>
    <row r="130" spans="1:10" x14ac:dyDescent="0.35">
      <c r="A130" s="18">
        <v>2</v>
      </c>
      <c r="B130" s="18" t="s">
        <v>32</v>
      </c>
      <c r="C130" s="10">
        <v>7000</v>
      </c>
      <c r="D130" s="10">
        <f>C130*0.15</f>
        <v>1050</v>
      </c>
      <c r="E130" s="10">
        <f t="shared" si="25"/>
        <v>8050</v>
      </c>
      <c r="F130" s="32">
        <f>Declarations!I140</f>
        <v>900</v>
      </c>
      <c r="G130" s="11">
        <f>C130+D130-F130</f>
        <v>7150</v>
      </c>
      <c r="H130" s="11" t="s">
        <v>85</v>
      </c>
      <c r="I130" s="1">
        <v>805</v>
      </c>
    </row>
    <row r="131" spans="1:10" x14ac:dyDescent="0.35">
      <c r="A131" s="18">
        <v>3</v>
      </c>
      <c r="B131" s="18" t="s">
        <v>9</v>
      </c>
      <c r="C131" s="10">
        <f t="shared" ref="C131:C132" si="26">G110</f>
        <v>36800</v>
      </c>
      <c r="D131" s="10">
        <v>0</v>
      </c>
      <c r="E131" s="10">
        <f t="shared" si="25"/>
        <v>36800</v>
      </c>
      <c r="F131" s="32">
        <f>Declarations!G141</f>
        <v>6800</v>
      </c>
      <c r="G131" s="11">
        <f t="shared" ref="G131:G141" si="27">C131+D131-F131</f>
        <v>30000</v>
      </c>
      <c r="H131" s="11" t="s">
        <v>85</v>
      </c>
      <c r="I131" s="1">
        <v>4600</v>
      </c>
    </row>
    <row r="132" spans="1:10" x14ac:dyDescent="0.35">
      <c r="A132" s="18">
        <v>4</v>
      </c>
      <c r="B132" s="18" t="s">
        <v>4</v>
      </c>
      <c r="C132" s="10">
        <f t="shared" si="26"/>
        <v>74765.762499999997</v>
      </c>
      <c r="D132" s="10">
        <v>0</v>
      </c>
      <c r="E132" s="10">
        <f>C132+D132</f>
        <v>74765.762499999997</v>
      </c>
      <c r="F132" s="32">
        <v>2914</v>
      </c>
      <c r="G132" s="11">
        <f t="shared" si="27"/>
        <v>71851.762499999997</v>
      </c>
      <c r="H132" s="11" t="s">
        <v>92</v>
      </c>
      <c r="I132" s="1">
        <v>3900</v>
      </c>
      <c r="J132" s="4"/>
    </row>
    <row r="133" spans="1:10" x14ac:dyDescent="0.35">
      <c r="A133" s="18"/>
      <c r="B133" s="18" t="s">
        <v>4</v>
      </c>
      <c r="C133" s="10">
        <v>5100</v>
      </c>
      <c r="D133" s="10">
        <f>C133*0.15</f>
        <v>765</v>
      </c>
      <c r="E133" s="10">
        <f>C133+D133</f>
        <v>5865</v>
      </c>
      <c r="F133" s="32">
        <v>586</v>
      </c>
      <c r="G133" s="11">
        <f t="shared" si="27"/>
        <v>5279</v>
      </c>
      <c r="H133" s="11" t="s">
        <v>85</v>
      </c>
      <c r="I133" s="1">
        <v>586</v>
      </c>
    </row>
    <row r="134" spans="1:10" x14ac:dyDescent="0.35">
      <c r="A134" s="18">
        <v>5</v>
      </c>
      <c r="B134" s="18" t="s">
        <v>5</v>
      </c>
      <c r="C134" s="10">
        <f>G112</f>
        <v>63000</v>
      </c>
      <c r="D134" s="10">
        <v>0</v>
      </c>
      <c r="E134" s="10">
        <f>C134+D134</f>
        <v>63000</v>
      </c>
      <c r="F134" s="32">
        <f>Declarations!D143</f>
        <v>3500</v>
      </c>
      <c r="G134" s="11">
        <f t="shared" si="27"/>
        <v>59500</v>
      </c>
      <c r="H134" s="11" t="s">
        <v>92</v>
      </c>
      <c r="I134" s="1">
        <v>3500</v>
      </c>
    </row>
    <row r="135" spans="1:10" x14ac:dyDescent="0.35">
      <c r="A135" s="18">
        <v>6</v>
      </c>
      <c r="B135" s="18" t="s">
        <v>6</v>
      </c>
      <c r="C135" s="10">
        <f>G113</f>
        <v>17765</v>
      </c>
      <c r="D135" s="10">
        <v>0</v>
      </c>
      <c r="E135" s="10">
        <f t="shared" ref="E135:E144" si="28">C135+D135</f>
        <v>17765</v>
      </c>
      <c r="F135" s="32">
        <f>Declarations!G144</f>
        <v>2100</v>
      </c>
      <c r="G135" s="11">
        <f t="shared" si="27"/>
        <v>15665</v>
      </c>
      <c r="H135" s="11" t="s">
        <v>85</v>
      </c>
      <c r="I135" s="1">
        <v>2098</v>
      </c>
    </row>
    <row r="136" spans="1:10" x14ac:dyDescent="0.35">
      <c r="A136" s="18">
        <v>7</v>
      </c>
      <c r="B136" s="18" t="s">
        <v>7</v>
      </c>
      <c r="C136" s="10">
        <f>G114</f>
        <v>0</v>
      </c>
      <c r="D136" s="10">
        <v>0</v>
      </c>
      <c r="E136" s="10">
        <f t="shared" si="28"/>
        <v>0</v>
      </c>
      <c r="F136" s="32">
        <v>0</v>
      </c>
      <c r="G136" s="11">
        <f t="shared" si="27"/>
        <v>0</v>
      </c>
      <c r="H136" s="11"/>
      <c r="I136" s="1"/>
    </row>
    <row r="137" spans="1:10" x14ac:dyDescent="0.35">
      <c r="A137" s="18">
        <v>8</v>
      </c>
      <c r="B137" s="18" t="s">
        <v>12</v>
      </c>
      <c r="C137" s="10">
        <v>10350</v>
      </c>
      <c r="D137" s="10">
        <v>0</v>
      </c>
      <c r="E137" s="10">
        <f t="shared" si="28"/>
        <v>10350</v>
      </c>
      <c r="F137" s="32">
        <f>Declarations!H146</f>
        <v>935</v>
      </c>
      <c r="G137" s="11">
        <f t="shared" si="27"/>
        <v>9415</v>
      </c>
      <c r="H137" s="11" t="s">
        <v>85</v>
      </c>
      <c r="I137" s="1">
        <v>1035</v>
      </c>
    </row>
    <row r="138" spans="1:10" x14ac:dyDescent="0.35">
      <c r="A138" s="18">
        <v>8</v>
      </c>
      <c r="B138" s="18" t="s">
        <v>91</v>
      </c>
      <c r="C138" s="10">
        <v>6000</v>
      </c>
      <c r="D138" s="10">
        <f>C138*0.15</f>
        <v>900</v>
      </c>
      <c r="E138" s="10">
        <f t="shared" si="28"/>
        <v>6900</v>
      </c>
      <c r="F138" s="32">
        <f>Declarations!I146</f>
        <v>690</v>
      </c>
      <c r="G138" s="11">
        <f t="shared" si="27"/>
        <v>6210</v>
      </c>
      <c r="H138" s="11" t="s">
        <v>85</v>
      </c>
      <c r="I138" s="1">
        <v>690</v>
      </c>
    </row>
    <row r="139" spans="1:10" x14ac:dyDescent="0.35">
      <c r="A139" s="18">
        <v>9</v>
      </c>
      <c r="B139" s="18" t="s">
        <v>8</v>
      </c>
      <c r="C139" s="10">
        <f>G117</f>
        <v>45150</v>
      </c>
      <c r="D139" s="10">
        <v>0</v>
      </c>
      <c r="E139" s="10">
        <f t="shared" si="28"/>
        <v>45150</v>
      </c>
      <c r="F139" s="32">
        <f>Declarations!E147</f>
        <v>7850</v>
      </c>
      <c r="G139" s="11">
        <f t="shared" si="27"/>
        <v>37300</v>
      </c>
      <c r="H139" s="11" t="s">
        <v>92</v>
      </c>
      <c r="I139" s="1">
        <v>3025</v>
      </c>
    </row>
    <row r="140" spans="1:10" x14ac:dyDescent="0.35">
      <c r="A140" s="18">
        <v>10</v>
      </c>
      <c r="B140" s="18" t="s">
        <v>13</v>
      </c>
      <c r="C140" s="10">
        <f>G118</f>
        <v>8300</v>
      </c>
      <c r="D140" s="10">
        <v>0</v>
      </c>
      <c r="E140" s="10">
        <f t="shared" si="28"/>
        <v>8300</v>
      </c>
      <c r="F140" s="32">
        <f>Declarations!F148</f>
        <v>4620</v>
      </c>
      <c r="G140" s="11">
        <f t="shared" si="27"/>
        <v>3680</v>
      </c>
      <c r="H140" s="11" t="s">
        <v>75</v>
      </c>
      <c r="I140" s="1">
        <v>830</v>
      </c>
    </row>
    <row r="141" spans="1:10" x14ac:dyDescent="0.35">
      <c r="A141" s="18"/>
      <c r="B141" s="18" t="s">
        <v>96</v>
      </c>
      <c r="C141" s="10">
        <v>6000</v>
      </c>
      <c r="D141" s="10">
        <f>C141*0.15</f>
        <v>900</v>
      </c>
      <c r="E141" s="10">
        <f t="shared" si="28"/>
        <v>6900</v>
      </c>
      <c r="F141" s="32">
        <f>Declarations!I148</f>
        <v>630</v>
      </c>
      <c r="G141" s="11">
        <f t="shared" si="27"/>
        <v>6270</v>
      </c>
      <c r="H141" s="11" t="s">
        <v>85</v>
      </c>
      <c r="I141" s="1">
        <v>690</v>
      </c>
    </row>
    <row r="142" spans="1:10" x14ac:dyDescent="0.35">
      <c r="A142" s="18">
        <v>11</v>
      </c>
      <c r="B142" s="18" t="s">
        <v>10</v>
      </c>
      <c r="C142" s="10">
        <v>25000</v>
      </c>
      <c r="D142" s="10">
        <f>C142*0.15</f>
        <v>3750</v>
      </c>
      <c r="E142" s="10">
        <f t="shared" si="28"/>
        <v>28750</v>
      </c>
      <c r="F142" s="32">
        <f>Declarations!I149</f>
        <v>7650</v>
      </c>
      <c r="G142" s="11">
        <f>C142+D142-F142</f>
        <v>21100</v>
      </c>
      <c r="H142" s="11" t="s">
        <v>92</v>
      </c>
      <c r="I142" s="1">
        <v>2875</v>
      </c>
    </row>
    <row r="143" spans="1:10" x14ac:dyDescent="0.35">
      <c r="A143" s="18">
        <v>12</v>
      </c>
      <c r="B143" s="18" t="s">
        <v>14</v>
      </c>
      <c r="C143" s="10">
        <f>G120</f>
        <v>0</v>
      </c>
      <c r="D143" s="10">
        <v>0</v>
      </c>
      <c r="E143" s="10">
        <f t="shared" si="28"/>
        <v>0</v>
      </c>
      <c r="F143" s="32">
        <v>0</v>
      </c>
      <c r="G143" s="11">
        <f t="shared" ref="G143:G144" si="29">C143+D143-F143</f>
        <v>0</v>
      </c>
      <c r="H143" s="11" t="s">
        <v>54</v>
      </c>
      <c r="I143" s="1">
        <v>1150</v>
      </c>
    </row>
    <row r="144" spans="1:10" x14ac:dyDescent="0.35">
      <c r="A144" s="18">
        <v>13</v>
      </c>
      <c r="B144" s="18" t="s">
        <v>11</v>
      </c>
      <c r="C144" s="10">
        <v>12000</v>
      </c>
      <c r="D144" s="10">
        <f>C144*0.15</f>
        <v>1800</v>
      </c>
      <c r="E144" s="10">
        <f t="shared" si="28"/>
        <v>13800</v>
      </c>
      <c r="F144" s="32">
        <f>Declarations!I151</f>
        <v>1500</v>
      </c>
      <c r="G144" s="11">
        <f t="shared" si="29"/>
        <v>12300</v>
      </c>
      <c r="H144" s="11" t="s">
        <v>92</v>
      </c>
      <c r="I144" s="1">
        <v>1380</v>
      </c>
    </row>
    <row r="145" spans="1:9" x14ac:dyDescent="0.35">
      <c r="A145" s="9"/>
      <c r="B145" s="9"/>
      <c r="C145" s="10"/>
      <c r="D145" s="10"/>
      <c r="E145" s="10"/>
      <c r="F145" s="9"/>
      <c r="G145" s="9"/>
      <c r="H145" s="11"/>
      <c r="I145" s="4"/>
    </row>
    <row r="146" spans="1:9" ht="15" thickBot="1" x14ac:dyDescent="0.4">
      <c r="C146" s="7">
        <f>SUM(C129:C145)</f>
        <v>317230.76250000001</v>
      </c>
      <c r="D146" s="7">
        <f>SUM(D129:D145)</f>
        <v>9165</v>
      </c>
      <c r="E146" s="7">
        <f>SUM(E129:E145)</f>
        <v>326395.76250000001</v>
      </c>
      <c r="F146" s="7">
        <f>SUM(F129:F145)</f>
        <v>40675</v>
      </c>
      <c r="G146" s="7">
        <f>SUM(G129:G145)</f>
        <v>285720.76250000001</v>
      </c>
      <c r="H146" s="7"/>
    </row>
    <row r="147" spans="1:9" ht="15" thickTop="1" x14ac:dyDescent="0.35"/>
    <row r="149" spans="1:9" x14ac:dyDescent="0.35">
      <c r="A149" s="13" t="s">
        <v>27</v>
      </c>
      <c r="B149" s="13"/>
      <c r="C149" s="12">
        <v>45870</v>
      </c>
      <c r="D149" s="14"/>
      <c r="E149" s="14"/>
      <c r="F149" s="13"/>
      <c r="G149" s="13"/>
      <c r="H149" s="13"/>
      <c r="I149" s="2"/>
    </row>
    <row r="150" spans="1:9" x14ac:dyDescent="0.35">
      <c r="A150" s="18"/>
      <c r="B150" s="18"/>
      <c r="C150" s="19" t="s">
        <v>16</v>
      </c>
      <c r="D150" s="20" t="s">
        <v>17</v>
      </c>
      <c r="E150" s="20" t="s">
        <v>52</v>
      </c>
      <c r="F150" s="18" t="s">
        <v>22</v>
      </c>
      <c r="G150" s="18" t="s">
        <v>23</v>
      </c>
      <c r="H150" s="18" t="s">
        <v>26</v>
      </c>
      <c r="I150" s="21" t="s">
        <v>31</v>
      </c>
    </row>
    <row r="151" spans="1:9" x14ac:dyDescent="0.35">
      <c r="A151" s="18" t="s">
        <v>1</v>
      </c>
      <c r="B151" s="18" t="s">
        <v>0</v>
      </c>
      <c r="C151" s="13"/>
      <c r="D151" s="13"/>
      <c r="E151" s="13"/>
      <c r="F151" s="13"/>
      <c r="G151" s="13"/>
      <c r="H151" s="13"/>
    </row>
    <row r="152" spans="1:9" x14ac:dyDescent="0.35">
      <c r="A152" s="18">
        <v>1</v>
      </c>
      <c r="B152" s="18" t="s">
        <v>2</v>
      </c>
      <c r="C152" s="10">
        <f>G129</f>
        <v>0</v>
      </c>
      <c r="D152" s="10">
        <v>0</v>
      </c>
      <c r="E152" s="10">
        <f t="shared" ref="E152:E155" si="30">C152+D152</f>
        <v>0</v>
      </c>
      <c r="F152" s="32">
        <f>Declarations!J159</f>
        <v>0</v>
      </c>
      <c r="G152" s="11">
        <f>C152+D152-F152</f>
        <v>0</v>
      </c>
      <c r="H152" s="11"/>
    </row>
    <row r="153" spans="1:9" x14ac:dyDescent="0.35">
      <c r="A153" s="18">
        <v>2</v>
      </c>
      <c r="B153" s="18" t="s">
        <v>32</v>
      </c>
      <c r="C153" s="10">
        <f t="shared" ref="C153:C154" si="31">G130</f>
        <v>7150</v>
      </c>
      <c r="D153" s="10">
        <v>0</v>
      </c>
      <c r="E153" s="10">
        <f t="shared" si="30"/>
        <v>7150</v>
      </c>
      <c r="F153" s="32">
        <f>Declarations!I160</f>
        <v>3000</v>
      </c>
      <c r="G153" s="11">
        <f>C153+D153-F153</f>
        <v>4150</v>
      </c>
      <c r="H153" s="11" t="s">
        <v>85</v>
      </c>
      <c r="I153" s="1">
        <v>805</v>
      </c>
    </row>
    <row r="154" spans="1:9" x14ac:dyDescent="0.35">
      <c r="A154" s="18">
        <v>3</v>
      </c>
      <c r="B154" s="18" t="s">
        <v>9</v>
      </c>
      <c r="C154" s="10">
        <f t="shared" si="31"/>
        <v>30000</v>
      </c>
      <c r="D154" s="10">
        <v>0</v>
      </c>
      <c r="E154" s="10">
        <f t="shared" si="30"/>
        <v>30000</v>
      </c>
      <c r="F154" s="32">
        <f>Declarations!G161</f>
        <v>2567</v>
      </c>
      <c r="G154" s="11">
        <f t="shared" ref="G154:G166" si="32">C154+D154-F154</f>
        <v>27433</v>
      </c>
      <c r="H154" s="11" t="s">
        <v>85</v>
      </c>
      <c r="I154" s="1">
        <v>4600</v>
      </c>
    </row>
    <row r="155" spans="1:9" x14ac:dyDescent="0.35">
      <c r="A155" s="18"/>
      <c r="B155" s="18" t="s">
        <v>110</v>
      </c>
      <c r="C155" s="10">
        <v>22325</v>
      </c>
      <c r="D155" s="10">
        <f>C155*0.15</f>
        <v>3348.75</v>
      </c>
      <c r="E155" s="10">
        <f t="shared" si="30"/>
        <v>25673.75</v>
      </c>
      <c r="F155" s="32">
        <f>Declarations!J161</f>
        <v>2033</v>
      </c>
      <c r="G155" s="11">
        <f t="shared" si="32"/>
        <v>23640.75</v>
      </c>
      <c r="H155" s="11" t="s">
        <v>92</v>
      </c>
      <c r="I155" s="1">
        <v>2567</v>
      </c>
    </row>
    <row r="156" spans="1:9" x14ac:dyDescent="0.35">
      <c r="A156" s="18">
        <v>4</v>
      </c>
      <c r="B156" s="18" t="s">
        <v>4</v>
      </c>
      <c r="C156" s="10">
        <f t="shared" ref="C156:C165" si="33">G132</f>
        <v>71851.762499999997</v>
      </c>
      <c r="D156" s="10">
        <v>0</v>
      </c>
      <c r="E156" s="10">
        <f>C156+D156</f>
        <v>71851.762499999997</v>
      </c>
      <c r="F156" s="32">
        <f>Declarations!H162</f>
        <v>4000</v>
      </c>
      <c r="G156" s="11">
        <f t="shared" si="32"/>
        <v>67851.762499999997</v>
      </c>
      <c r="H156" s="11" t="s">
        <v>92</v>
      </c>
      <c r="I156" s="1">
        <v>3900</v>
      </c>
    </row>
    <row r="157" spans="1:9" x14ac:dyDescent="0.35">
      <c r="A157" s="18"/>
      <c r="B157" s="18" t="s">
        <v>4</v>
      </c>
      <c r="C157" s="10">
        <f t="shared" si="33"/>
        <v>5279</v>
      </c>
      <c r="D157" s="10">
        <v>0</v>
      </c>
      <c r="E157" s="10">
        <f>C157+D157</f>
        <v>5279</v>
      </c>
      <c r="F157" s="32">
        <v>0</v>
      </c>
      <c r="G157" s="11">
        <f t="shared" si="32"/>
        <v>5279</v>
      </c>
      <c r="H157" s="11" t="s">
        <v>85</v>
      </c>
      <c r="I157" s="1">
        <v>586</v>
      </c>
    </row>
    <row r="158" spans="1:9" x14ac:dyDescent="0.35">
      <c r="A158" s="18">
        <v>5</v>
      </c>
      <c r="B158" s="18" t="s">
        <v>5</v>
      </c>
      <c r="C158" s="10">
        <f t="shared" si="33"/>
        <v>59500</v>
      </c>
      <c r="D158" s="10">
        <v>0</v>
      </c>
      <c r="E158" s="10">
        <f>C158+D158</f>
        <v>59500</v>
      </c>
      <c r="F158" s="32">
        <f>Declarations!D163</f>
        <v>3500</v>
      </c>
      <c r="G158" s="11">
        <f t="shared" si="32"/>
        <v>56000</v>
      </c>
      <c r="H158" s="11" t="s">
        <v>92</v>
      </c>
      <c r="I158" s="1">
        <v>3500</v>
      </c>
    </row>
    <row r="159" spans="1:9" x14ac:dyDescent="0.35">
      <c r="A159" s="18">
        <v>6</v>
      </c>
      <c r="B159" s="18" t="s">
        <v>6</v>
      </c>
      <c r="C159" s="10">
        <f t="shared" si="33"/>
        <v>15665</v>
      </c>
      <c r="D159" s="10">
        <v>0</v>
      </c>
      <c r="E159" s="10">
        <f t="shared" ref="E159:E169" si="34">C159+D159</f>
        <v>15665</v>
      </c>
      <c r="F159" s="32">
        <f>Declarations!G164</f>
        <v>2100</v>
      </c>
      <c r="G159" s="11">
        <f t="shared" si="32"/>
        <v>13565</v>
      </c>
      <c r="H159" s="11" t="s">
        <v>85</v>
      </c>
      <c r="I159" s="1">
        <v>2098</v>
      </c>
    </row>
    <row r="160" spans="1:9" x14ac:dyDescent="0.35">
      <c r="A160" s="18">
        <v>7</v>
      </c>
      <c r="B160" s="18" t="s">
        <v>7</v>
      </c>
      <c r="C160" s="10">
        <f t="shared" si="33"/>
        <v>0</v>
      </c>
      <c r="D160" s="10">
        <v>0</v>
      </c>
      <c r="E160" s="10">
        <f t="shared" si="34"/>
        <v>0</v>
      </c>
      <c r="F160" s="32">
        <v>0</v>
      </c>
      <c r="G160" s="11">
        <f t="shared" si="32"/>
        <v>0</v>
      </c>
      <c r="H160" s="11"/>
      <c r="I160" s="1"/>
    </row>
    <row r="161" spans="1:9" x14ac:dyDescent="0.35">
      <c r="A161" s="18">
        <v>8</v>
      </c>
      <c r="B161" s="18" t="s">
        <v>12</v>
      </c>
      <c r="C161" s="10">
        <f t="shared" si="33"/>
        <v>9415</v>
      </c>
      <c r="D161" s="10">
        <v>0</v>
      </c>
      <c r="E161" s="10">
        <f t="shared" si="34"/>
        <v>9415</v>
      </c>
      <c r="F161" s="32">
        <f>Declarations!H166</f>
        <v>1035</v>
      </c>
      <c r="G161" s="11">
        <f t="shared" si="32"/>
        <v>8380</v>
      </c>
      <c r="H161" s="11" t="s">
        <v>85</v>
      </c>
      <c r="I161" s="1">
        <v>1035</v>
      </c>
    </row>
    <row r="162" spans="1:9" x14ac:dyDescent="0.35">
      <c r="A162" s="18">
        <v>8</v>
      </c>
      <c r="B162" s="18" t="s">
        <v>91</v>
      </c>
      <c r="C162" s="10">
        <f t="shared" si="33"/>
        <v>6210</v>
      </c>
      <c r="D162" s="10">
        <v>0</v>
      </c>
      <c r="E162" s="10">
        <f t="shared" si="34"/>
        <v>6210</v>
      </c>
      <c r="F162" s="32">
        <f>Declarations!I166</f>
        <v>690</v>
      </c>
      <c r="G162" s="11">
        <f t="shared" si="32"/>
        <v>5520</v>
      </c>
      <c r="H162" s="11" t="s">
        <v>85</v>
      </c>
      <c r="I162" s="1">
        <v>690</v>
      </c>
    </row>
    <row r="163" spans="1:9" x14ac:dyDescent="0.35">
      <c r="A163" s="18">
        <v>9</v>
      </c>
      <c r="B163" s="18" t="s">
        <v>8</v>
      </c>
      <c r="C163" s="10">
        <f t="shared" si="33"/>
        <v>37300</v>
      </c>
      <c r="D163" s="10">
        <v>0</v>
      </c>
      <c r="E163" s="10">
        <f t="shared" si="34"/>
        <v>37300</v>
      </c>
      <c r="F163" s="32">
        <f>Declarations!E167</f>
        <v>5000</v>
      </c>
      <c r="G163" s="11">
        <f t="shared" si="32"/>
        <v>32300</v>
      </c>
      <c r="H163" s="11" t="s">
        <v>92</v>
      </c>
      <c r="I163" s="1">
        <v>3025</v>
      </c>
    </row>
    <row r="164" spans="1:9" x14ac:dyDescent="0.35">
      <c r="A164" s="18">
        <v>10</v>
      </c>
      <c r="B164" s="18" t="s">
        <v>13</v>
      </c>
      <c r="C164" s="10">
        <f t="shared" si="33"/>
        <v>3680</v>
      </c>
      <c r="D164" s="10">
        <v>0</v>
      </c>
      <c r="E164" s="10">
        <f t="shared" si="34"/>
        <v>3680</v>
      </c>
      <c r="F164" s="32">
        <f>Declarations!F168</f>
        <v>830</v>
      </c>
      <c r="G164" s="11">
        <f t="shared" si="32"/>
        <v>2850</v>
      </c>
      <c r="H164" s="11" t="s">
        <v>75</v>
      </c>
      <c r="I164" s="1">
        <v>830</v>
      </c>
    </row>
    <row r="165" spans="1:9" x14ac:dyDescent="0.35">
      <c r="A165" s="18"/>
      <c r="B165" s="18" t="s">
        <v>96</v>
      </c>
      <c r="C165" s="10">
        <f t="shared" si="33"/>
        <v>6270</v>
      </c>
      <c r="D165" s="10">
        <v>0</v>
      </c>
      <c r="E165" s="10">
        <f t="shared" si="34"/>
        <v>6270</v>
      </c>
      <c r="F165" s="32">
        <f>Declarations!I168</f>
        <v>690</v>
      </c>
      <c r="G165" s="11">
        <f t="shared" si="32"/>
        <v>5580</v>
      </c>
      <c r="H165" s="11" t="s">
        <v>85</v>
      </c>
      <c r="I165" s="1">
        <v>690</v>
      </c>
    </row>
    <row r="166" spans="1:9" x14ac:dyDescent="0.35">
      <c r="A166" s="18"/>
      <c r="B166" s="18" t="s">
        <v>109</v>
      </c>
      <c r="C166" s="10">
        <v>30000</v>
      </c>
      <c r="D166" s="10">
        <f>C166*0.15</f>
        <v>4500</v>
      </c>
      <c r="E166" s="10">
        <f t="shared" si="34"/>
        <v>34500</v>
      </c>
      <c r="F166" s="32">
        <f>Declarations!J168</f>
        <v>2925</v>
      </c>
      <c r="G166" s="11">
        <f t="shared" si="32"/>
        <v>31575</v>
      </c>
      <c r="H166" s="11" t="s">
        <v>92</v>
      </c>
      <c r="I166" s="1">
        <v>3450</v>
      </c>
    </row>
    <row r="167" spans="1:9" x14ac:dyDescent="0.35">
      <c r="A167" s="18">
        <v>11</v>
      </c>
      <c r="B167" s="18" t="s">
        <v>10</v>
      </c>
      <c r="C167" s="10">
        <f>G142</f>
        <v>21100</v>
      </c>
      <c r="D167" s="10">
        <v>0</v>
      </c>
      <c r="E167" s="10">
        <f t="shared" si="34"/>
        <v>21100</v>
      </c>
      <c r="F167" s="32">
        <f>Declarations!I169</f>
        <v>6500</v>
      </c>
      <c r="G167" s="11">
        <f>C167+D167-F167</f>
        <v>14600</v>
      </c>
      <c r="H167" s="11" t="s">
        <v>92</v>
      </c>
      <c r="I167" s="1">
        <v>2875</v>
      </c>
    </row>
    <row r="168" spans="1:9" x14ac:dyDescent="0.35">
      <c r="A168" s="18">
        <v>12</v>
      </c>
      <c r="B168" s="18" t="s">
        <v>14</v>
      </c>
      <c r="C168" s="10">
        <f>G143</f>
        <v>0</v>
      </c>
      <c r="D168" s="10">
        <v>0</v>
      </c>
      <c r="E168" s="10">
        <f t="shared" si="34"/>
        <v>0</v>
      </c>
      <c r="F168" s="32">
        <v>0</v>
      </c>
      <c r="G168" s="11">
        <f t="shared" ref="G168:G169" si="35">C168+D168-F168</f>
        <v>0</v>
      </c>
      <c r="H168" s="11" t="s">
        <v>54</v>
      </c>
      <c r="I168" s="1">
        <v>1150</v>
      </c>
    </row>
    <row r="169" spans="1:9" x14ac:dyDescent="0.35">
      <c r="A169" s="18">
        <v>13</v>
      </c>
      <c r="B169" s="18" t="s">
        <v>11</v>
      </c>
      <c r="C169" s="10">
        <f>G144</f>
        <v>12300</v>
      </c>
      <c r="D169" s="10">
        <v>0</v>
      </c>
      <c r="E169" s="10">
        <f t="shared" si="34"/>
        <v>12300</v>
      </c>
      <c r="F169" s="32">
        <f>Declarations!I171</f>
        <v>1550</v>
      </c>
      <c r="G169" s="11">
        <f t="shared" si="35"/>
        <v>10750</v>
      </c>
      <c r="H169" s="11" t="s">
        <v>92</v>
      </c>
      <c r="I169" s="1">
        <v>1380</v>
      </c>
    </row>
    <row r="170" spans="1:9" x14ac:dyDescent="0.35">
      <c r="A170" s="9"/>
      <c r="B170" s="9"/>
      <c r="C170" s="10"/>
      <c r="D170" s="10"/>
      <c r="E170" s="10"/>
      <c r="F170" s="9"/>
      <c r="G170" s="9"/>
      <c r="H170" s="11"/>
      <c r="I170" s="4"/>
    </row>
    <row r="171" spans="1:9" ht="15" thickBot="1" x14ac:dyDescent="0.4">
      <c r="C171" s="7">
        <f>SUM(C152:C170)</f>
        <v>338045.76250000001</v>
      </c>
      <c r="D171" s="7">
        <f>SUM(D152:D170)</f>
        <v>7848.75</v>
      </c>
      <c r="E171" s="7">
        <f>SUM(E152:E170)</f>
        <v>345894.51250000001</v>
      </c>
      <c r="F171" s="7">
        <f>SUM(F152:F170)</f>
        <v>36420</v>
      </c>
      <c r="G171" s="7">
        <f>SUM(G152:G170)</f>
        <v>309474.51250000001</v>
      </c>
      <c r="H171" s="7"/>
    </row>
    <row r="172" spans="1:9" ht="15" thickTop="1" x14ac:dyDescent="0.35"/>
    <row r="174" spans="1:9" x14ac:dyDescent="0.35">
      <c r="A174" s="13" t="s">
        <v>27</v>
      </c>
      <c r="B174" s="13"/>
      <c r="C174" s="12">
        <v>45901</v>
      </c>
      <c r="D174" s="14"/>
      <c r="E174" s="14"/>
      <c r="F174" s="13"/>
      <c r="G174" s="13"/>
      <c r="H174" s="13"/>
      <c r="I174" s="2"/>
    </row>
    <row r="175" spans="1:9" x14ac:dyDescent="0.35">
      <c r="A175" s="18"/>
      <c r="B175" s="18"/>
      <c r="C175" s="19" t="s">
        <v>16</v>
      </c>
      <c r="D175" s="20" t="s">
        <v>17</v>
      </c>
      <c r="E175" s="20" t="s">
        <v>52</v>
      </c>
      <c r="F175" s="18" t="s">
        <v>22</v>
      </c>
      <c r="G175" s="18" t="s">
        <v>23</v>
      </c>
      <c r="H175" s="18" t="s">
        <v>26</v>
      </c>
      <c r="I175" s="21" t="s">
        <v>31</v>
      </c>
    </row>
    <row r="176" spans="1:9" x14ac:dyDescent="0.35">
      <c r="A176" s="18" t="s">
        <v>1</v>
      </c>
      <c r="B176" s="18" t="s">
        <v>0</v>
      </c>
      <c r="C176" s="51"/>
      <c r="D176" s="13"/>
      <c r="E176" s="13"/>
      <c r="F176" s="13"/>
      <c r="G176" s="13"/>
      <c r="H176" s="13"/>
    </row>
    <row r="177" spans="1:10" x14ac:dyDescent="0.35">
      <c r="A177" s="18">
        <v>1</v>
      </c>
      <c r="B177" s="18" t="s">
        <v>2</v>
      </c>
      <c r="C177" s="45">
        <v>9420</v>
      </c>
      <c r="D177" s="10">
        <f>C177*0.15</f>
        <v>1413</v>
      </c>
      <c r="E177" s="10">
        <f t="shared" ref="E177:E181" si="36">C177+D177</f>
        <v>10833</v>
      </c>
      <c r="F177" s="32">
        <v>0</v>
      </c>
      <c r="G177" s="11">
        <f>C177+D177-F177</f>
        <v>10833</v>
      </c>
      <c r="H177" s="11" t="s">
        <v>92</v>
      </c>
      <c r="I177" s="1">
        <v>1083</v>
      </c>
    </row>
    <row r="178" spans="1:10" x14ac:dyDescent="0.35">
      <c r="A178" s="18">
        <v>2</v>
      </c>
      <c r="B178" s="18" t="s">
        <v>32</v>
      </c>
      <c r="C178" s="45">
        <f t="shared" ref="C178" si="37">G153</f>
        <v>4150</v>
      </c>
      <c r="D178" s="10">
        <v>0</v>
      </c>
      <c r="E178" s="10">
        <f t="shared" si="36"/>
        <v>4150</v>
      </c>
      <c r="F178" s="32">
        <f>Declarations!G188</f>
        <v>0</v>
      </c>
      <c r="G178" s="11">
        <f>C178+D178-F178</f>
        <v>4150</v>
      </c>
      <c r="H178" s="11" t="s">
        <v>85</v>
      </c>
      <c r="I178" s="1">
        <v>805</v>
      </c>
    </row>
    <row r="179" spans="1:10" x14ac:dyDescent="0.35">
      <c r="A179" s="18"/>
      <c r="B179" s="18" t="s">
        <v>114</v>
      </c>
      <c r="C179" s="45">
        <v>5000</v>
      </c>
      <c r="D179" s="10">
        <f>C179*0.15</f>
        <v>750</v>
      </c>
      <c r="E179" s="10">
        <f t="shared" si="36"/>
        <v>5750</v>
      </c>
      <c r="F179" s="32"/>
      <c r="G179" s="11">
        <f t="shared" ref="G179:G182" si="38">C179+D179-F179</f>
        <v>5750</v>
      </c>
      <c r="H179" s="11" t="s">
        <v>92</v>
      </c>
      <c r="I179" s="1">
        <v>575</v>
      </c>
    </row>
    <row r="180" spans="1:10" x14ac:dyDescent="0.35">
      <c r="A180" s="18">
        <v>3</v>
      </c>
      <c r="B180" s="18" t="s">
        <v>9</v>
      </c>
      <c r="C180" s="45">
        <f t="shared" ref="C180:C185" si="39">G154</f>
        <v>27433</v>
      </c>
      <c r="D180" s="10">
        <v>0</v>
      </c>
      <c r="E180" s="10">
        <f t="shared" si="36"/>
        <v>27433</v>
      </c>
      <c r="F180" s="32">
        <f>Declarations!H189</f>
        <v>0</v>
      </c>
      <c r="G180" s="11">
        <f t="shared" si="38"/>
        <v>27433</v>
      </c>
      <c r="H180" s="11" t="s">
        <v>85</v>
      </c>
      <c r="I180" s="1">
        <v>4600</v>
      </c>
    </row>
    <row r="181" spans="1:10" x14ac:dyDescent="0.35">
      <c r="A181" s="18"/>
      <c r="B181" s="18" t="s">
        <v>110</v>
      </c>
      <c r="C181" s="45">
        <f t="shared" si="39"/>
        <v>23640.75</v>
      </c>
      <c r="D181" s="10">
        <v>0</v>
      </c>
      <c r="E181" s="10">
        <f t="shared" si="36"/>
        <v>23640.75</v>
      </c>
      <c r="F181" s="32">
        <f>Declarations!H190</f>
        <v>0</v>
      </c>
      <c r="G181" s="11">
        <f t="shared" si="38"/>
        <v>23640.75</v>
      </c>
      <c r="H181" s="11" t="s">
        <v>92</v>
      </c>
      <c r="I181" s="1">
        <v>2567</v>
      </c>
      <c r="J181" s="4"/>
    </row>
    <row r="182" spans="1:10" x14ac:dyDescent="0.35">
      <c r="A182" s="18">
        <v>4</v>
      </c>
      <c r="B182" s="18" t="s">
        <v>4</v>
      </c>
      <c r="C182" s="45">
        <f t="shared" si="39"/>
        <v>67851.762499999997</v>
      </c>
      <c r="D182" s="10">
        <v>0</v>
      </c>
      <c r="E182" s="10">
        <f>C182+D182</f>
        <v>67851.762499999997</v>
      </c>
      <c r="F182" s="32">
        <f>Declarations!H190</f>
        <v>0</v>
      </c>
      <c r="G182" s="11">
        <f t="shared" si="38"/>
        <v>67851.762499999997</v>
      </c>
      <c r="H182" s="11" t="s">
        <v>92</v>
      </c>
      <c r="I182" s="1">
        <v>3900</v>
      </c>
    </row>
    <row r="183" spans="1:10" x14ac:dyDescent="0.35">
      <c r="A183" s="18"/>
      <c r="B183" s="18" t="s">
        <v>4</v>
      </c>
      <c r="C183" s="45">
        <f t="shared" si="39"/>
        <v>5279</v>
      </c>
      <c r="D183" s="10">
        <v>0</v>
      </c>
      <c r="E183" s="10">
        <f>C183+D183</f>
        <v>5279</v>
      </c>
      <c r="F183" s="32">
        <v>0</v>
      </c>
      <c r="G183" s="11">
        <f t="shared" ref="G183:G192" si="40">C183+D183-F183</f>
        <v>5279</v>
      </c>
      <c r="H183" s="11" t="s">
        <v>85</v>
      </c>
      <c r="I183" s="1">
        <v>586</v>
      </c>
    </row>
    <row r="184" spans="1:10" x14ac:dyDescent="0.35">
      <c r="A184" s="18">
        <v>5</v>
      </c>
      <c r="B184" s="18" t="s">
        <v>5</v>
      </c>
      <c r="C184" s="45">
        <f t="shared" si="39"/>
        <v>56000</v>
      </c>
      <c r="D184" s="10">
        <v>0</v>
      </c>
      <c r="E184" s="10">
        <f>C184+D184</f>
        <v>56000</v>
      </c>
      <c r="F184" s="32">
        <f>Declarations!E191</f>
        <v>0</v>
      </c>
      <c r="G184" s="11">
        <f t="shared" si="40"/>
        <v>56000</v>
      </c>
      <c r="H184" s="11" t="s">
        <v>92</v>
      </c>
      <c r="I184" s="1">
        <v>3500</v>
      </c>
    </row>
    <row r="185" spans="1:10" x14ac:dyDescent="0.35">
      <c r="A185" s="18">
        <v>6</v>
      </c>
      <c r="B185" s="18" t="s">
        <v>6</v>
      </c>
      <c r="C185" s="45">
        <f t="shared" si="39"/>
        <v>13565</v>
      </c>
      <c r="D185" s="10">
        <v>0</v>
      </c>
      <c r="E185" s="10">
        <f t="shared" ref="E185:E195" si="41">C185+D185</f>
        <v>13565</v>
      </c>
      <c r="F185" s="32">
        <f>Declarations!H192</f>
        <v>0</v>
      </c>
      <c r="G185" s="11">
        <f t="shared" si="40"/>
        <v>13565</v>
      </c>
      <c r="H185" s="11" t="s">
        <v>85</v>
      </c>
      <c r="I185" s="1">
        <v>2098</v>
      </c>
    </row>
    <row r="186" spans="1:10" x14ac:dyDescent="0.35">
      <c r="A186" s="18">
        <v>7</v>
      </c>
      <c r="B186" s="18" t="s">
        <v>7</v>
      </c>
      <c r="C186" s="45">
        <v>50000</v>
      </c>
      <c r="D186" s="10">
        <f>C186*0.15</f>
        <v>7500</v>
      </c>
      <c r="E186" s="10">
        <f t="shared" si="41"/>
        <v>57500</v>
      </c>
      <c r="F186" s="32">
        <v>0</v>
      </c>
      <c r="G186" s="11">
        <f t="shared" si="40"/>
        <v>57500</v>
      </c>
      <c r="H186" s="11" t="s">
        <v>92</v>
      </c>
      <c r="I186" s="1">
        <v>5750</v>
      </c>
    </row>
    <row r="187" spans="1:10" x14ac:dyDescent="0.35">
      <c r="A187" s="18">
        <v>8</v>
      </c>
      <c r="B187" s="18" t="s">
        <v>12</v>
      </c>
      <c r="C187" s="45">
        <f t="shared" ref="C187:C195" si="42">G161</f>
        <v>8380</v>
      </c>
      <c r="D187" s="10">
        <v>0</v>
      </c>
      <c r="E187" s="10">
        <f t="shared" si="41"/>
        <v>8380</v>
      </c>
      <c r="F187" s="32">
        <f>Declarations!E194</f>
        <v>0</v>
      </c>
      <c r="G187" s="11">
        <f t="shared" si="40"/>
        <v>8380</v>
      </c>
      <c r="H187" s="11" t="s">
        <v>85</v>
      </c>
      <c r="I187" s="1">
        <v>1035</v>
      </c>
    </row>
    <row r="188" spans="1:10" x14ac:dyDescent="0.35">
      <c r="A188" s="18">
        <v>8</v>
      </c>
      <c r="B188" s="18" t="s">
        <v>91</v>
      </c>
      <c r="C188" s="10">
        <f t="shared" si="42"/>
        <v>5520</v>
      </c>
      <c r="D188" s="10">
        <v>0</v>
      </c>
      <c r="E188" s="10">
        <f t="shared" si="41"/>
        <v>5520</v>
      </c>
      <c r="F188" s="32">
        <f>Declarations!I194</f>
        <v>0</v>
      </c>
      <c r="G188" s="11">
        <f t="shared" si="40"/>
        <v>5520</v>
      </c>
      <c r="H188" s="11" t="s">
        <v>85</v>
      </c>
      <c r="I188" s="1">
        <v>690</v>
      </c>
    </row>
    <row r="189" spans="1:10" x14ac:dyDescent="0.35">
      <c r="A189" s="18">
        <v>9</v>
      </c>
      <c r="B189" s="18" t="s">
        <v>8</v>
      </c>
      <c r="C189" s="10">
        <f t="shared" si="42"/>
        <v>32300</v>
      </c>
      <c r="D189" s="10">
        <v>0</v>
      </c>
      <c r="E189" s="10">
        <f t="shared" si="41"/>
        <v>32300</v>
      </c>
      <c r="F189" s="32">
        <f>Declarations!F195</f>
        <v>0</v>
      </c>
      <c r="G189" s="11">
        <f t="shared" si="40"/>
        <v>32300</v>
      </c>
      <c r="H189" s="11" t="s">
        <v>92</v>
      </c>
      <c r="I189" s="1">
        <v>3025</v>
      </c>
    </row>
    <row r="190" spans="1:10" x14ac:dyDescent="0.35">
      <c r="A190" s="18">
        <v>10</v>
      </c>
      <c r="B190" s="18" t="s">
        <v>13</v>
      </c>
      <c r="C190" s="10">
        <f t="shared" si="42"/>
        <v>2850</v>
      </c>
      <c r="D190" s="10">
        <v>0</v>
      </c>
      <c r="E190" s="10">
        <f t="shared" si="41"/>
        <v>2850</v>
      </c>
      <c r="F190" s="32">
        <f>Declarations!G196</f>
        <v>0</v>
      </c>
      <c r="G190" s="11">
        <f t="shared" si="40"/>
        <v>2850</v>
      </c>
      <c r="H190" s="11" t="s">
        <v>75</v>
      </c>
      <c r="I190" s="1">
        <v>830</v>
      </c>
    </row>
    <row r="191" spans="1:10" x14ac:dyDescent="0.35">
      <c r="A191" s="18"/>
      <c r="B191" s="18" t="s">
        <v>96</v>
      </c>
      <c r="C191" s="10">
        <f t="shared" si="42"/>
        <v>5580</v>
      </c>
      <c r="D191" s="10">
        <v>0</v>
      </c>
      <c r="E191" s="10">
        <f t="shared" si="41"/>
        <v>5580</v>
      </c>
      <c r="F191" s="32">
        <f>Declarations!G197</f>
        <v>0</v>
      </c>
      <c r="G191" s="11">
        <f t="shared" si="40"/>
        <v>5580</v>
      </c>
      <c r="H191" s="11" t="s">
        <v>85</v>
      </c>
      <c r="I191" s="1">
        <v>690</v>
      </c>
    </row>
    <row r="192" spans="1:10" x14ac:dyDescent="0.35">
      <c r="A192" s="18"/>
      <c r="B192" s="18" t="s">
        <v>109</v>
      </c>
      <c r="C192" s="10">
        <f t="shared" si="42"/>
        <v>31575</v>
      </c>
      <c r="D192" s="10">
        <v>0</v>
      </c>
      <c r="E192" s="10">
        <f t="shared" si="41"/>
        <v>31575</v>
      </c>
      <c r="F192" s="32">
        <v>0</v>
      </c>
      <c r="G192" s="11">
        <f t="shared" si="40"/>
        <v>31575</v>
      </c>
      <c r="H192" s="11" t="s">
        <v>92</v>
      </c>
      <c r="I192" s="1">
        <v>3450</v>
      </c>
    </row>
    <row r="193" spans="1:9" x14ac:dyDescent="0.35">
      <c r="A193" s="18">
        <v>11</v>
      </c>
      <c r="B193" s="18" t="s">
        <v>10</v>
      </c>
      <c r="C193" s="10">
        <f t="shared" si="42"/>
        <v>14600</v>
      </c>
      <c r="D193" s="10">
        <v>0</v>
      </c>
      <c r="E193" s="10">
        <f t="shared" si="41"/>
        <v>14600</v>
      </c>
      <c r="F193" s="32">
        <f>Declarations!G202</f>
        <v>0</v>
      </c>
      <c r="G193" s="11">
        <f>C193+D193-F193</f>
        <v>14600</v>
      </c>
      <c r="H193" s="11" t="s">
        <v>92</v>
      </c>
      <c r="I193" s="1">
        <v>2875</v>
      </c>
    </row>
    <row r="194" spans="1:9" x14ac:dyDescent="0.35">
      <c r="A194" s="18">
        <v>12</v>
      </c>
      <c r="B194" s="18" t="s">
        <v>14</v>
      </c>
      <c r="C194" s="10">
        <f t="shared" si="42"/>
        <v>0</v>
      </c>
      <c r="D194" s="10">
        <v>0</v>
      </c>
      <c r="E194" s="10">
        <f t="shared" si="41"/>
        <v>0</v>
      </c>
      <c r="F194" s="32">
        <f>Declarations!G198</f>
        <v>0</v>
      </c>
      <c r="G194" s="11">
        <f t="shared" ref="G194:G195" si="43">C194+D194-F194</f>
        <v>0</v>
      </c>
      <c r="H194" s="11"/>
      <c r="I194" s="1"/>
    </row>
    <row r="195" spans="1:9" x14ac:dyDescent="0.35">
      <c r="A195" s="18">
        <v>13</v>
      </c>
      <c r="B195" s="18" t="s">
        <v>11</v>
      </c>
      <c r="C195" s="10">
        <f t="shared" si="42"/>
        <v>10750</v>
      </c>
      <c r="D195" s="10">
        <v>0</v>
      </c>
      <c r="E195" s="10">
        <f t="shared" si="41"/>
        <v>10750</v>
      </c>
      <c r="F195" s="32">
        <f>Declarations!G204</f>
        <v>0</v>
      </c>
      <c r="G195" s="11">
        <f t="shared" si="43"/>
        <v>10750</v>
      </c>
      <c r="H195" s="11" t="s">
        <v>92</v>
      </c>
      <c r="I195" s="1">
        <v>1380</v>
      </c>
    </row>
    <row r="196" spans="1:9" x14ac:dyDescent="0.35">
      <c r="A196" s="9"/>
      <c r="B196" s="9"/>
      <c r="C196" s="10"/>
      <c r="D196" s="10"/>
      <c r="E196" s="10"/>
      <c r="F196" s="9"/>
      <c r="G196" s="9"/>
      <c r="H196" s="11"/>
      <c r="I196" s="4"/>
    </row>
    <row r="197" spans="1:9" ht="15" thickBot="1" x14ac:dyDescent="0.4">
      <c r="C197" s="7">
        <f>SUM(C177:C196)</f>
        <v>373894.51250000001</v>
      </c>
      <c r="D197" s="7">
        <f>SUM(D177:D196)</f>
        <v>9663</v>
      </c>
      <c r="E197" s="7">
        <f>SUM(E177:E196)</f>
        <v>383557.51250000001</v>
      </c>
      <c r="F197" s="7">
        <f>SUM(F177:F196)</f>
        <v>0</v>
      </c>
      <c r="G197" s="7">
        <f>SUM(G177:G196)</f>
        <v>383557.51250000001</v>
      </c>
      <c r="H197" s="7"/>
    </row>
    <row r="198" spans="1:9" ht="15" thickTop="1" x14ac:dyDescent="0.35"/>
  </sheetData>
  <pageMargins left="0.7" right="0.7" top="0.75" bottom="0.75" header="0.3" footer="0.3"/>
  <pageSetup paperSize="9" orientation="landscape" r:id="rId1"/>
  <rowBreaks count="8" manualBreakCount="8">
    <brk id="19" max="16383" man="1"/>
    <brk id="40" max="16383" man="1"/>
    <brk id="60" max="8" man="1"/>
    <brk id="81" max="8" man="1"/>
    <brk id="104" max="8" man="1"/>
    <brk id="125" max="8" man="1"/>
    <brk id="148" max="8" man="1"/>
    <brk id="173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95C6-97C6-4C88-B8BC-AA944A7EC4FC}">
  <dimension ref="A1:O19"/>
  <sheetViews>
    <sheetView view="pageBreakPreview" zoomScale="120" zoomScaleNormal="100" zoomScaleSheetLayoutView="120" workbookViewId="0">
      <selection activeCell="I27" sqref="I27"/>
    </sheetView>
  </sheetViews>
  <sheetFormatPr defaultRowHeight="14.5" x14ac:dyDescent="0.35"/>
  <cols>
    <col min="1" max="1" width="7.453125" customWidth="1"/>
    <col min="2" max="2" width="17.7265625" bestFit="1" customWidth="1"/>
    <col min="3" max="4" width="10.7265625" customWidth="1"/>
    <col min="5" max="7" width="10.7265625" bestFit="1" customWidth="1"/>
    <col min="8" max="8" width="11.54296875" customWidth="1"/>
    <col min="9" max="9" width="10.7265625" customWidth="1"/>
    <col min="10" max="10" width="10.7265625" bestFit="1" customWidth="1"/>
    <col min="11" max="11" width="10.7265625" style="1" bestFit="1" customWidth="1"/>
    <col min="12" max="13" width="8.7265625" hidden="1" customWidth="1"/>
    <col min="14" max="14" width="1.6328125" hidden="1" customWidth="1"/>
    <col min="15" max="15" width="11.453125" customWidth="1"/>
  </cols>
  <sheetData>
    <row r="1" spans="1:15" x14ac:dyDescent="0.35">
      <c r="A1" s="24" t="s">
        <v>57</v>
      </c>
      <c r="B1" s="22"/>
      <c r="C1" s="23"/>
      <c r="D1" s="24"/>
      <c r="E1" s="24"/>
      <c r="F1" s="24"/>
      <c r="G1" s="24"/>
      <c r="H1" s="24"/>
      <c r="I1" s="24"/>
      <c r="J1" s="24"/>
      <c r="K1" s="23"/>
      <c r="L1" s="24"/>
      <c r="M1" s="24"/>
      <c r="N1" s="24"/>
    </row>
    <row r="2" spans="1:15" ht="29" x14ac:dyDescent="0.35">
      <c r="A2" s="25"/>
      <c r="B2" s="25"/>
      <c r="C2" s="20">
        <v>45658</v>
      </c>
      <c r="D2" s="20">
        <v>45689</v>
      </c>
      <c r="E2" s="20">
        <v>45717</v>
      </c>
      <c r="F2" s="20">
        <v>45748</v>
      </c>
      <c r="G2" s="20">
        <v>45778</v>
      </c>
      <c r="H2" s="20">
        <v>45809</v>
      </c>
      <c r="I2" s="20">
        <v>45839</v>
      </c>
      <c r="J2" s="20">
        <v>45870</v>
      </c>
      <c r="K2" s="20">
        <v>45901</v>
      </c>
      <c r="L2" s="20">
        <v>45931</v>
      </c>
      <c r="M2" s="20">
        <v>45962</v>
      </c>
      <c r="N2" s="20">
        <v>45992</v>
      </c>
      <c r="O2" s="47" t="s">
        <v>37</v>
      </c>
    </row>
    <row r="3" spans="1:15" x14ac:dyDescent="0.35">
      <c r="A3" s="18" t="s">
        <v>1</v>
      </c>
      <c r="B3" s="18" t="s">
        <v>0</v>
      </c>
      <c r="C3" s="9"/>
      <c r="D3" s="9"/>
      <c r="E3" s="9"/>
      <c r="F3" s="9"/>
      <c r="G3" s="9"/>
      <c r="H3" s="9"/>
      <c r="I3" s="9"/>
      <c r="J3" s="9"/>
      <c r="K3" s="10"/>
      <c r="L3" s="9"/>
      <c r="M3" s="9"/>
      <c r="N3" s="9"/>
      <c r="O3" s="10"/>
    </row>
    <row r="4" spans="1:15" x14ac:dyDescent="0.35">
      <c r="A4" s="18">
        <v>1</v>
      </c>
      <c r="B4" s="18" t="s">
        <v>2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9420</v>
      </c>
      <c r="L4" s="9"/>
      <c r="M4" s="9"/>
      <c r="N4" s="9"/>
      <c r="O4" s="10">
        <f>SUM(C4:K4)</f>
        <v>9420</v>
      </c>
    </row>
    <row r="5" spans="1:15" x14ac:dyDescent="0.35">
      <c r="A5" s="18">
        <v>2</v>
      </c>
      <c r="B5" s="18" t="s">
        <v>3</v>
      </c>
      <c r="C5" s="10">
        <v>0</v>
      </c>
      <c r="D5" s="10">
        <v>0</v>
      </c>
      <c r="E5" s="10">
        <v>0</v>
      </c>
      <c r="F5" s="10">
        <v>8000</v>
      </c>
      <c r="G5" s="10">
        <v>0</v>
      </c>
      <c r="H5" s="10">
        <v>0</v>
      </c>
      <c r="I5" s="10">
        <v>7000</v>
      </c>
      <c r="J5" s="10">
        <v>0</v>
      </c>
      <c r="K5" s="10">
        <v>5000</v>
      </c>
      <c r="L5" s="9"/>
      <c r="M5" s="9"/>
      <c r="N5" s="9"/>
      <c r="O5" s="10">
        <f t="shared" ref="O5:O16" si="0">SUM(C5:K5)</f>
        <v>20000</v>
      </c>
    </row>
    <row r="6" spans="1:15" x14ac:dyDescent="0.35">
      <c r="A6" s="18">
        <v>3</v>
      </c>
      <c r="B6" s="18" t="s">
        <v>9</v>
      </c>
      <c r="C6" s="10">
        <v>10000</v>
      </c>
      <c r="D6" s="10">
        <v>0</v>
      </c>
      <c r="E6" s="10">
        <v>0</v>
      </c>
      <c r="F6" s="10">
        <v>0</v>
      </c>
      <c r="G6" s="10">
        <v>40000</v>
      </c>
      <c r="H6" s="10">
        <v>0</v>
      </c>
      <c r="I6" s="10">
        <v>0</v>
      </c>
      <c r="J6" s="10">
        <v>22325</v>
      </c>
      <c r="K6" s="10">
        <v>0</v>
      </c>
      <c r="L6" s="9"/>
      <c r="M6" s="9"/>
      <c r="N6" s="9"/>
      <c r="O6" s="10">
        <f t="shared" si="0"/>
        <v>72325</v>
      </c>
    </row>
    <row r="7" spans="1:15" x14ac:dyDescent="0.35">
      <c r="A7" s="18">
        <v>4</v>
      </c>
      <c r="B7" s="18" t="s">
        <v>4</v>
      </c>
      <c r="C7" s="10">
        <v>40000</v>
      </c>
      <c r="D7" s="10">
        <v>0</v>
      </c>
      <c r="E7" s="10">
        <v>5545</v>
      </c>
      <c r="F7" s="10">
        <v>0</v>
      </c>
      <c r="G7" s="10">
        <v>0</v>
      </c>
      <c r="H7" s="10">
        <v>68926.75</v>
      </c>
      <c r="I7" s="10">
        <v>5100</v>
      </c>
      <c r="J7" s="10">
        <v>0</v>
      </c>
      <c r="K7" s="10">
        <v>0</v>
      </c>
      <c r="L7" s="9"/>
      <c r="M7" s="9"/>
      <c r="N7" s="9"/>
      <c r="O7" s="10">
        <f t="shared" si="0"/>
        <v>119571.75</v>
      </c>
    </row>
    <row r="8" spans="1:15" x14ac:dyDescent="0.35">
      <c r="A8" s="18">
        <v>5</v>
      </c>
      <c r="B8" s="18" t="s">
        <v>5</v>
      </c>
      <c r="C8" s="10"/>
      <c r="D8" s="10">
        <v>70000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9"/>
      <c r="M8" s="9"/>
      <c r="N8" s="9"/>
      <c r="O8" s="10">
        <f t="shared" si="0"/>
        <v>70000</v>
      </c>
    </row>
    <row r="9" spans="1:15" x14ac:dyDescent="0.35">
      <c r="A9" s="18">
        <v>6</v>
      </c>
      <c r="B9" s="18" t="s">
        <v>6</v>
      </c>
      <c r="C9" s="10"/>
      <c r="D9" s="10">
        <v>1800</v>
      </c>
      <c r="E9" s="10">
        <v>0</v>
      </c>
      <c r="F9" s="10">
        <v>0</v>
      </c>
      <c r="G9" s="10">
        <v>19100</v>
      </c>
      <c r="H9" s="10">
        <v>0</v>
      </c>
      <c r="I9" s="10">
        <v>0</v>
      </c>
      <c r="J9" s="10">
        <v>0</v>
      </c>
      <c r="K9" s="10">
        <v>0</v>
      </c>
      <c r="L9" s="9"/>
      <c r="M9" s="9"/>
      <c r="N9" s="9"/>
      <c r="O9" s="10">
        <f t="shared" si="0"/>
        <v>20900</v>
      </c>
    </row>
    <row r="10" spans="1:15" x14ac:dyDescent="0.35">
      <c r="A10" s="18">
        <v>7</v>
      </c>
      <c r="B10" s="18" t="s">
        <v>7</v>
      </c>
      <c r="C10" s="10"/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50000</v>
      </c>
      <c r="L10" s="9"/>
      <c r="M10" s="9"/>
      <c r="N10" s="9"/>
      <c r="O10" s="10">
        <f t="shared" si="0"/>
        <v>50000</v>
      </c>
    </row>
    <row r="11" spans="1:15" x14ac:dyDescent="0.35">
      <c r="A11" s="18">
        <v>8</v>
      </c>
      <c r="B11" s="18" t="s">
        <v>12</v>
      </c>
      <c r="C11" s="10"/>
      <c r="D11" s="10">
        <v>20000</v>
      </c>
      <c r="E11" s="10">
        <v>0</v>
      </c>
      <c r="F11" s="10">
        <v>0</v>
      </c>
      <c r="G11" s="10">
        <v>0</v>
      </c>
      <c r="H11" s="10">
        <v>10000</v>
      </c>
      <c r="I11" s="10">
        <v>6000</v>
      </c>
      <c r="J11" s="10">
        <v>0</v>
      </c>
      <c r="K11" s="10">
        <v>0</v>
      </c>
      <c r="L11" s="9"/>
      <c r="M11" s="9"/>
      <c r="N11" s="9"/>
      <c r="O11" s="10">
        <f t="shared" si="0"/>
        <v>36000</v>
      </c>
    </row>
    <row r="12" spans="1:15" x14ac:dyDescent="0.35">
      <c r="A12" s="18">
        <v>9</v>
      </c>
      <c r="B12" s="18" t="s">
        <v>8</v>
      </c>
      <c r="C12" s="10"/>
      <c r="D12" s="10">
        <v>0</v>
      </c>
      <c r="E12" s="10">
        <v>55000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9"/>
      <c r="M12" s="9"/>
      <c r="N12" s="9"/>
      <c r="O12" s="10">
        <f t="shared" si="0"/>
        <v>55000</v>
      </c>
    </row>
    <row r="13" spans="1:15" x14ac:dyDescent="0.35">
      <c r="A13" s="18">
        <v>10</v>
      </c>
      <c r="B13" s="18" t="s">
        <v>13</v>
      </c>
      <c r="C13" s="10"/>
      <c r="D13" s="10">
        <v>0</v>
      </c>
      <c r="E13" s="10">
        <v>0</v>
      </c>
      <c r="F13" s="10">
        <v>20000</v>
      </c>
      <c r="G13" s="10">
        <v>0</v>
      </c>
      <c r="H13" s="10">
        <v>0</v>
      </c>
      <c r="I13" s="10">
        <v>6000</v>
      </c>
      <c r="J13" s="10">
        <v>30000</v>
      </c>
      <c r="K13" s="10">
        <v>0</v>
      </c>
      <c r="L13" s="9"/>
      <c r="M13" s="9"/>
      <c r="N13" s="9"/>
      <c r="O13" s="10">
        <f t="shared" si="0"/>
        <v>56000</v>
      </c>
    </row>
    <row r="14" spans="1:15" x14ac:dyDescent="0.35">
      <c r="A14" s="18">
        <v>11</v>
      </c>
      <c r="B14" s="18" t="s">
        <v>10</v>
      </c>
      <c r="C14" s="10"/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25000</v>
      </c>
      <c r="J14" s="10">
        <v>0</v>
      </c>
      <c r="K14" s="10">
        <v>0</v>
      </c>
      <c r="L14" s="9"/>
      <c r="M14" s="9"/>
      <c r="N14" s="9"/>
      <c r="O14" s="10">
        <f t="shared" si="0"/>
        <v>25000</v>
      </c>
    </row>
    <row r="15" spans="1:15" x14ac:dyDescent="0.35">
      <c r="A15" s="18">
        <v>12</v>
      </c>
      <c r="B15" s="18" t="s">
        <v>14</v>
      </c>
      <c r="C15" s="10"/>
      <c r="D15" s="10">
        <v>0</v>
      </c>
      <c r="E15" s="10">
        <v>0</v>
      </c>
      <c r="F15" s="10">
        <v>3000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9"/>
      <c r="M15" s="9"/>
      <c r="N15" s="9"/>
      <c r="O15" s="10">
        <f t="shared" si="0"/>
        <v>3000</v>
      </c>
    </row>
    <row r="16" spans="1:15" x14ac:dyDescent="0.35">
      <c r="A16" s="18">
        <v>13</v>
      </c>
      <c r="B16" s="18" t="s">
        <v>11</v>
      </c>
      <c r="C16" s="10">
        <v>1500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12000</v>
      </c>
      <c r="J16" s="10">
        <v>0</v>
      </c>
      <c r="K16" s="10">
        <v>0</v>
      </c>
      <c r="L16" s="9"/>
      <c r="M16" s="9"/>
      <c r="N16" s="9"/>
      <c r="O16" s="10">
        <f t="shared" si="0"/>
        <v>13500</v>
      </c>
    </row>
    <row r="17" spans="1:15" x14ac:dyDescent="0.35">
      <c r="A17" s="9"/>
      <c r="B17" s="9"/>
      <c r="C17" s="10"/>
      <c r="D17" s="9"/>
      <c r="E17" s="9"/>
      <c r="F17" s="9"/>
      <c r="G17" s="9"/>
      <c r="H17" s="9"/>
      <c r="I17" s="9"/>
      <c r="J17" s="9"/>
      <c r="K17" s="10"/>
      <c r="L17" s="9"/>
      <c r="M17" s="9"/>
      <c r="N17" s="9"/>
      <c r="O17" s="10"/>
    </row>
    <row r="18" spans="1:15" ht="15" thickBot="1" x14ac:dyDescent="0.4">
      <c r="C18" s="8">
        <f>SUM(C4:C17)</f>
        <v>51500</v>
      </c>
      <c r="D18" s="8">
        <f t="shared" ref="D18" si="1">SUM(D4:D17)</f>
        <v>91800</v>
      </c>
      <c r="E18" s="8">
        <f>SUM(E4:E17)</f>
        <v>60545</v>
      </c>
      <c r="F18" s="8">
        <f t="shared" ref="F18" si="2">SUM(F4:F17)</f>
        <v>31000</v>
      </c>
      <c r="G18" s="8">
        <f>SUM(G4:G17)</f>
        <v>59100</v>
      </c>
      <c r="H18" s="8">
        <f t="shared" ref="H18" si="3">SUM(H4:H17)</f>
        <v>78926.75</v>
      </c>
      <c r="I18" s="8">
        <f t="shared" ref="I18" si="4">SUM(I4:I17)</f>
        <v>61100</v>
      </c>
      <c r="J18" s="8">
        <f t="shared" ref="J18" si="5">SUM(J4:J17)</f>
        <v>52325</v>
      </c>
      <c r="K18" s="8">
        <f t="shared" ref="K18" si="6">SUM(K4:K17)</f>
        <v>64420</v>
      </c>
      <c r="L18" s="8">
        <f t="shared" ref="L18" si="7">SUM(L4:L17)</f>
        <v>0</v>
      </c>
      <c r="M18" s="8">
        <f t="shared" ref="M18" si="8">SUM(M4:M17)</f>
        <v>0</v>
      </c>
      <c r="N18" s="8">
        <f t="shared" ref="N18" si="9">SUM(N4:N17)</f>
        <v>0</v>
      </c>
      <c r="O18" s="8">
        <f>SUM(O4:O17)</f>
        <v>550716.75</v>
      </c>
    </row>
    <row r="19" spans="1:15" ht="15" thickTop="1" x14ac:dyDescent="0.35"/>
  </sheetData>
  <pageMargins left="0.7" right="0.7" top="0.75" bottom="0.75" header="0.3" footer="0.3"/>
  <pageSetup scale="9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F942D-10E2-4664-B4DF-7AFC85372ECF}">
  <dimension ref="A1:O22"/>
  <sheetViews>
    <sheetView view="pageBreakPreview" zoomScaleNormal="100" zoomScaleSheetLayoutView="100" workbookViewId="0">
      <selection activeCell="I27" sqref="I27"/>
    </sheetView>
  </sheetViews>
  <sheetFormatPr defaultRowHeight="14.5" x14ac:dyDescent="0.35"/>
  <cols>
    <col min="2" max="2" width="17.7265625" bestFit="1" customWidth="1"/>
    <col min="3" max="5" width="10.1796875" bestFit="1" customWidth="1"/>
    <col min="6" max="6" width="9.7265625" customWidth="1"/>
    <col min="7" max="7" width="9.1796875" bestFit="1" customWidth="1"/>
    <col min="8" max="8" width="11.1796875" customWidth="1"/>
    <col min="9" max="11" width="9.1796875" bestFit="1" customWidth="1"/>
    <col min="12" max="14" width="8.7265625" hidden="1" customWidth="1"/>
    <col min="15" max="15" width="12.54296875" hidden="1" customWidth="1"/>
  </cols>
  <sheetData>
    <row r="1" spans="1:15" x14ac:dyDescent="0.35">
      <c r="A1" s="24" t="s">
        <v>34</v>
      </c>
      <c r="B1" s="24"/>
      <c r="C1" s="23" t="s">
        <v>35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35">
      <c r="A2" s="18" t="s">
        <v>66</v>
      </c>
      <c r="B2" s="18"/>
      <c r="C2" s="20">
        <v>45658</v>
      </c>
      <c r="D2" s="20">
        <v>45689</v>
      </c>
      <c r="E2" s="20">
        <v>45717</v>
      </c>
      <c r="F2" s="20">
        <v>45748</v>
      </c>
      <c r="G2" s="20">
        <v>45778</v>
      </c>
      <c r="H2" s="20">
        <v>45809</v>
      </c>
      <c r="I2" s="20">
        <v>45839</v>
      </c>
      <c r="J2" s="20">
        <v>45870</v>
      </c>
      <c r="K2" s="20">
        <v>45901</v>
      </c>
      <c r="L2" s="20">
        <v>45931</v>
      </c>
      <c r="M2" s="20">
        <v>45962</v>
      </c>
      <c r="N2" s="20">
        <v>45992</v>
      </c>
      <c r="O2" s="18" t="s">
        <v>18</v>
      </c>
    </row>
    <row r="3" spans="1:15" x14ac:dyDescent="0.35">
      <c r="A3" s="18"/>
      <c r="B3" s="18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18"/>
    </row>
    <row r="4" spans="1:15" x14ac:dyDescent="0.35">
      <c r="A4" s="18" t="s">
        <v>1</v>
      </c>
      <c r="B4" s="18" t="s">
        <v>0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35">
      <c r="A5" s="18">
        <v>1</v>
      </c>
      <c r="B5" s="18" t="s">
        <v>2</v>
      </c>
      <c r="C5" s="11">
        <f>'Jan Loan Interest'!P4</f>
        <v>403.125</v>
      </c>
      <c r="D5" s="11">
        <f>'Feb Loan Interest'!P4</f>
        <v>2321.7580362361191</v>
      </c>
      <c r="E5" s="11">
        <f>'Mar Loan Interest '!P4</f>
        <v>134.88248663101606</v>
      </c>
      <c r="F5" s="11">
        <f>'Apr Loan Interest'!P4</f>
        <v>248.23943661971833</v>
      </c>
      <c r="G5" s="11">
        <f>'May loan interest'!P4</f>
        <v>260.79044850498337</v>
      </c>
      <c r="H5" s="11">
        <f>'June loan interest '!P4</f>
        <v>117.59358288770052</v>
      </c>
      <c r="I5" s="11">
        <f>'July Loan interest'!P4</f>
        <v>203.41726618705036</v>
      </c>
      <c r="J5" s="11">
        <f>'August Loan Interest'!J4</f>
        <v>106.91845493562232</v>
      </c>
      <c r="K5" s="11">
        <f>'September Loan Interest'!J4</f>
        <v>75</v>
      </c>
      <c r="L5" s="9"/>
      <c r="M5" s="9"/>
      <c r="N5" s="9"/>
      <c r="O5" s="15">
        <f>SUM(C5:N5)</f>
        <v>3871.7247120022098</v>
      </c>
    </row>
    <row r="6" spans="1:15" x14ac:dyDescent="0.35">
      <c r="A6" s="18">
        <v>2</v>
      </c>
      <c r="B6" s="18" t="s">
        <v>3</v>
      </c>
      <c r="C6" s="11">
        <f>'Jan Loan Interest'!P5</f>
        <v>483.75</v>
      </c>
      <c r="D6" s="11">
        <f>'Feb Loan Interest'!P5</f>
        <v>473.82817066043242</v>
      </c>
      <c r="E6" s="11">
        <f>'Mar Loan Interest '!P5</f>
        <v>539.52994652406426</v>
      </c>
      <c r="F6" s="11">
        <f>'Apr Loan Interest'!P5</f>
        <v>992.95774647887333</v>
      </c>
      <c r="G6" s="11">
        <f>'May loan interest'!P5</f>
        <v>920.43687707641197</v>
      </c>
      <c r="H6" s="11">
        <f>'June loan interest '!P5</f>
        <v>705.56149732620315</v>
      </c>
      <c r="I6" s="11">
        <f>'July Loan interest'!P5</f>
        <v>203.41726618705036</v>
      </c>
      <c r="J6" s="11">
        <f>'August Loan Interest'!J5</f>
        <v>106.91845493562232</v>
      </c>
      <c r="K6" s="11">
        <f>'September Loan Interest'!J5</f>
        <v>225</v>
      </c>
      <c r="L6" s="9"/>
      <c r="M6" s="9"/>
      <c r="N6" s="9"/>
      <c r="O6" s="15">
        <f t="shared" ref="O6:O17" si="0">SUM(C6:N6)</f>
        <v>4651.3999591886577</v>
      </c>
    </row>
    <row r="7" spans="1:15" x14ac:dyDescent="0.35">
      <c r="A7" s="18">
        <v>3</v>
      </c>
      <c r="B7" s="18" t="s">
        <v>9</v>
      </c>
      <c r="C7" s="11">
        <f>'Jan Loan Interest'!P6</f>
        <v>1612.5</v>
      </c>
      <c r="D7" s="11">
        <f>'Feb Loan Interest'!P6</f>
        <v>118.4570426651081</v>
      </c>
      <c r="E7" s="11">
        <f>'Mar Loan Interest '!P6</f>
        <v>134.88248663101606</v>
      </c>
      <c r="F7" s="11">
        <f>'Apr Loan Interest'!P6</f>
        <v>248.23943661971833</v>
      </c>
      <c r="G7" s="11">
        <f>'May loan interest'!P6</f>
        <v>4141.965946843854</v>
      </c>
      <c r="H7" s="11">
        <f>'June loan interest '!P6</f>
        <v>117.59358288770052</v>
      </c>
      <c r="I7" s="11">
        <f>'July Loan interest'!P6</f>
        <v>203.41726618705036</v>
      </c>
      <c r="J7" s="11">
        <f>'August Loan Interest'!J6</f>
        <v>224.52875536480687</v>
      </c>
      <c r="K7" s="11">
        <f>'September Loan Interest'!J6</f>
        <v>157.5</v>
      </c>
      <c r="L7" s="9"/>
      <c r="M7" s="9"/>
      <c r="N7" s="9"/>
      <c r="O7" s="15">
        <f t="shared" si="0"/>
        <v>6959.0845171992551</v>
      </c>
    </row>
    <row r="8" spans="1:15" x14ac:dyDescent="0.35">
      <c r="A8" s="18">
        <v>4</v>
      </c>
      <c r="B8" s="18" t="s">
        <v>4</v>
      </c>
      <c r="C8" s="11">
        <f>'Jan Loan Interest'!P7</f>
        <v>6450</v>
      </c>
      <c r="D8" s="11">
        <f>'Feb Loan Interest'!P7</f>
        <v>118.4570426651081</v>
      </c>
      <c r="E8" s="11">
        <f>'Mar Loan Interest '!P7</f>
        <v>134.88248663101606</v>
      </c>
      <c r="F8" s="11">
        <f>'Apr Loan Interest'!P7</f>
        <v>248.23943661971833</v>
      </c>
      <c r="G8" s="11">
        <f>'May loan interest'!P7</f>
        <v>153.40614617940199</v>
      </c>
      <c r="H8" s="11">
        <f>'June loan interest '!P7</f>
        <v>705.56149732620315</v>
      </c>
      <c r="I8" s="11">
        <f>'July Loan interest'!P7</f>
        <v>203.41726618705036</v>
      </c>
      <c r="J8" s="11">
        <f>'August Loan Interest'!J7</f>
        <v>106.91845493562232</v>
      </c>
      <c r="K8" s="11">
        <f>'September Loan Interest'!J7</f>
        <v>75</v>
      </c>
      <c r="L8" s="9"/>
      <c r="M8" s="9"/>
      <c r="N8" s="9"/>
      <c r="O8" s="15">
        <f t="shared" si="0"/>
        <v>8195.8823305441219</v>
      </c>
    </row>
    <row r="9" spans="1:15" x14ac:dyDescent="0.35">
      <c r="A9" s="18">
        <v>5</v>
      </c>
      <c r="B9" s="18" t="s">
        <v>5</v>
      </c>
      <c r="C9" s="11">
        <f>'Jan Loan Interest'!P8</f>
        <v>161.25</v>
      </c>
      <c r="D9" s="11">
        <f>'Feb Loan Interest'!P8</f>
        <v>7462.7936879018134</v>
      </c>
      <c r="E9" s="11">
        <f>'Mar Loan Interest '!P8</f>
        <v>134.88248663101606</v>
      </c>
      <c r="F9" s="11">
        <f>'Apr Loan Interest'!P8</f>
        <v>248.23943661971833</v>
      </c>
      <c r="G9" s="11">
        <f>'May loan interest'!P8</f>
        <v>153.40614617940199</v>
      </c>
      <c r="H9" s="11">
        <f>'June loan interest '!P8</f>
        <v>117.59358288770052</v>
      </c>
      <c r="I9" s="11">
        <f>'July Loan interest'!P8</f>
        <v>203.41726618705036</v>
      </c>
      <c r="J9" s="11">
        <f>'August Loan Interest'!J8</f>
        <v>106.91845493562232</v>
      </c>
      <c r="K9" s="11">
        <f>'September Loan Interest'!J8</f>
        <v>2452.5</v>
      </c>
      <c r="L9" s="9"/>
      <c r="M9" s="9"/>
      <c r="N9" s="9"/>
      <c r="O9" s="15">
        <f t="shared" si="0"/>
        <v>11041.001061342322</v>
      </c>
    </row>
    <row r="10" spans="1:15" x14ac:dyDescent="0.35">
      <c r="A10" s="18">
        <v>6</v>
      </c>
      <c r="B10" s="18" t="s">
        <v>6</v>
      </c>
      <c r="C10" s="11">
        <f>'Jan Loan Interest'!P9</f>
        <v>2983.125</v>
      </c>
      <c r="D10" s="11">
        <f>'Feb Loan Interest'!P9</f>
        <v>4915.9672706019865</v>
      </c>
      <c r="E10" s="11">
        <f>'Mar Loan Interest '!P9</f>
        <v>539.52994652406426</v>
      </c>
      <c r="F10" s="11">
        <f>'Apr Loan Interest'!P9</f>
        <v>496.47887323943667</v>
      </c>
      <c r="G10" s="11">
        <f>'May loan interest'!P9</f>
        <v>613.62458471760795</v>
      </c>
      <c r="H10" s="11">
        <f>'June loan interest '!P9</f>
        <v>117.59358288770052</v>
      </c>
      <c r="I10" s="11">
        <f>'July Loan interest'!P9</f>
        <v>203.41726618705036</v>
      </c>
      <c r="J10" s="11">
        <f>'August Loan Interest'!J9</f>
        <v>106.91845493562232</v>
      </c>
      <c r="K10" s="11">
        <f>'September Loan Interest'!J9</f>
        <v>75</v>
      </c>
      <c r="L10" s="9"/>
      <c r="M10" s="9"/>
      <c r="N10" s="9"/>
      <c r="O10" s="15">
        <f t="shared" si="0"/>
        <v>10051.65497909347</v>
      </c>
    </row>
    <row r="11" spans="1:15" x14ac:dyDescent="0.35">
      <c r="A11" s="18">
        <v>7</v>
      </c>
      <c r="B11" s="18" t="s">
        <v>7</v>
      </c>
      <c r="C11" s="11">
        <f>'Jan Loan Interest'!P10</f>
        <v>161.25</v>
      </c>
      <c r="D11" s="11">
        <f>'Feb Loan Interest'!P10</f>
        <v>142.14845119812978</v>
      </c>
      <c r="E11" s="11">
        <f>'Mar Loan Interest '!P10</f>
        <v>202.32372994652408</v>
      </c>
      <c r="F11" s="11">
        <f>'Apr Loan Interest'!P10</f>
        <v>273.06338028169017</v>
      </c>
      <c r="G11" s="11">
        <f>'May loan interest'!P10</f>
        <v>260.79044850498337</v>
      </c>
      <c r="H11" s="11">
        <f>'June loan interest '!P10</f>
        <v>117.59358288770052</v>
      </c>
      <c r="I11" s="11">
        <f>'July Loan interest'!P10</f>
        <v>1159.4784172661871</v>
      </c>
      <c r="J11" s="11">
        <f>'August Loan Interest'!J10</f>
        <v>256.60429184549355</v>
      </c>
      <c r="K11" s="11">
        <f>'September Loan Interest'!J10</f>
        <v>75</v>
      </c>
      <c r="L11" s="9"/>
      <c r="M11" s="9"/>
      <c r="N11" s="9"/>
      <c r="O11" s="15">
        <f t="shared" si="0"/>
        <v>2648.2523019307087</v>
      </c>
    </row>
    <row r="12" spans="1:15" x14ac:dyDescent="0.35">
      <c r="A12" s="18">
        <v>8</v>
      </c>
      <c r="B12" s="18" t="s">
        <v>12</v>
      </c>
      <c r="C12" s="11">
        <f>'Jan Loan Interest'!P11</f>
        <v>3547.5</v>
      </c>
      <c r="D12" s="11">
        <f>'Feb Loan Interest'!P11</f>
        <v>118.4570426651081</v>
      </c>
      <c r="E12" s="11">
        <f>'Mar Loan Interest '!P11</f>
        <v>134.88248663101606</v>
      </c>
      <c r="F12" s="11">
        <f>'Apr Loan Interest'!P11</f>
        <v>273.06338028169017</v>
      </c>
      <c r="G12" s="11">
        <f>'May loan interest'!P11</f>
        <v>153.40614617940199</v>
      </c>
      <c r="H12" s="11">
        <f>'June loan interest '!P11</f>
        <v>129.35294117647058</v>
      </c>
      <c r="I12" s="11">
        <f>'July Loan interest'!P11</f>
        <v>203.41726618705036</v>
      </c>
      <c r="J12" s="11">
        <f>'August Loan Interest'!J11</f>
        <v>106.91845493562232</v>
      </c>
      <c r="K12" s="11">
        <f>'September Loan Interest'!J11</f>
        <v>75</v>
      </c>
      <c r="L12" s="9"/>
      <c r="M12" s="9"/>
      <c r="N12" s="9"/>
      <c r="O12" s="15">
        <f t="shared" si="0"/>
        <v>4741.9977180563592</v>
      </c>
    </row>
    <row r="13" spans="1:15" x14ac:dyDescent="0.35">
      <c r="A13" s="18">
        <v>9</v>
      </c>
      <c r="B13" s="18" t="s">
        <v>8</v>
      </c>
      <c r="C13" s="11">
        <f>'Jan Loan Interest'!P12</f>
        <v>322.5</v>
      </c>
      <c r="D13" s="11">
        <f>'Feb Loan Interest'!P12</f>
        <v>1658.3985973115141</v>
      </c>
      <c r="E13" s="11">
        <f>'Mar Loan Interest '!P12</f>
        <v>2697.6497326203212</v>
      </c>
      <c r="F13" s="11">
        <f>'Apr Loan Interest'!P12</f>
        <v>496.47887323943667</v>
      </c>
      <c r="G13" s="11">
        <f>'May loan interest'!P12</f>
        <v>306.81229235880397</v>
      </c>
      <c r="H13" s="11">
        <f>'June loan interest '!P12</f>
        <v>670.28342245989313</v>
      </c>
      <c r="I13" s="11">
        <f>'July Loan interest'!P12</f>
        <v>956.06115107913661</v>
      </c>
      <c r="J13" s="11">
        <f>'August Loan Interest'!J12</f>
        <v>427.67381974248929</v>
      </c>
      <c r="K13" s="11">
        <f>'September Loan Interest'!J12</f>
        <v>180</v>
      </c>
      <c r="L13" s="9"/>
      <c r="M13" s="9"/>
      <c r="N13" s="9"/>
      <c r="O13" s="15">
        <f t="shared" si="0"/>
        <v>7715.8578888115944</v>
      </c>
    </row>
    <row r="14" spans="1:15" x14ac:dyDescent="0.35">
      <c r="A14" s="18">
        <v>10</v>
      </c>
      <c r="B14" s="18" t="s">
        <v>13</v>
      </c>
      <c r="C14" s="11">
        <f>'Jan Loan Interest'!P13</f>
        <v>161.25</v>
      </c>
      <c r="D14" s="11">
        <f>'Feb Loan Interest'!P13</f>
        <v>201.37697253068379</v>
      </c>
      <c r="E14" s="11">
        <f>'Mar Loan Interest '!P13</f>
        <v>5395.2994652406423</v>
      </c>
      <c r="F14" s="11">
        <f>'Apr Loan Interest'!P13</f>
        <v>248.23943661971833</v>
      </c>
      <c r="G14" s="11">
        <f>'May loan interest'!P13</f>
        <v>153.40614617940199</v>
      </c>
      <c r="H14" s="11">
        <f>'June loan interest '!P13</f>
        <v>117.59358288770052</v>
      </c>
      <c r="I14" s="11">
        <f>'July Loan interest'!P13</f>
        <v>203.41726618705036</v>
      </c>
      <c r="J14" s="11">
        <f>'August Loan Interest'!J13</f>
        <v>106.91845493562232</v>
      </c>
      <c r="K14" s="11">
        <f>'September Loan Interest'!J13</f>
        <v>75</v>
      </c>
      <c r="L14" s="9"/>
      <c r="M14" s="9"/>
      <c r="N14" s="9"/>
      <c r="O14" s="15">
        <f t="shared" si="0"/>
        <v>6662.5013245808204</v>
      </c>
    </row>
    <row r="15" spans="1:15" x14ac:dyDescent="0.35">
      <c r="A15" s="18">
        <v>11</v>
      </c>
      <c r="B15" s="18" t="s">
        <v>10</v>
      </c>
      <c r="C15" s="11">
        <f>'Jan Loan Interest'!P14</f>
        <v>0</v>
      </c>
      <c r="D15" s="11">
        <f>'Feb Loan Interest'!P14</f>
        <v>2333.6037405026309</v>
      </c>
      <c r="E15" s="11">
        <f>'Mar Loan Interest '!P14</f>
        <v>2131.143288770053</v>
      </c>
      <c r="F15" s="11">
        <f>'Apr Loan Interest'!P14</f>
        <v>2383.0985915492952</v>
      </c>
      <c r="G15" s="11">
        <f>'May loan interest'!P14</f>
        <v>1564.7426910299002</v>
      </c>
      <c r="H15" s="11">
        <f>'June loan interest '!P14</f>
        <v>1199.4545454545453</v>
      </c>
      <c r="I15" s="11">
        <f>'July Loan interest'!P14</f>
        <v>1261.1870503597122</v>
      </c>
      <c r="J15" s="11">
        <f>'August Loan Interest'!J14</f>
        <v>470.44120171673819</v>
      </c>
      <c r="K15" s="11">
        <f>'September Loan Interest'!J14</f>
        <v>465</v>
      </c>
      <c r="L15" s="9"/>
      <c r="M15" s="9"/>
      <c r="N15" s="9"/>
      <c r="O15" s="15">
        <f t="shared" si="0"/>
        <v>11808.671109382876</v>
      </c>
    </row>
    <row r="16" spans="1:15" x14ac:dyDescent="0.35">
      <c r="A16" s="18">
        <v>12</v>
      </c>
      <c r="B16" s="18" t="s">
        <v>14</v>
      </c>
      <c r="C16" s="11">
        <f>'Jan Loan Interest'!P15</f>
        <v>161.25</v>
      </c>
      <c r="D16" s="11">
        <f>'Feb Loan Interest'!P15</f>
        <v>236.91408533021621</v>
      </c>
      <c r="E16" s="11">
        <f>'Mar Loan Interest '!P15</f>
        <v>269.76497326203213</v>
      </c>
      <c r="F16" s="11">
        <f>'Apr Loan Interest'!P15</f>
        <v>496.47887323943667</v>
      </c>
      <c r="G16" s="11">
        <f>'May loan interest'!P15</f>
        <v>368.17475083056479</v>
      </c>
      <c r="H16" s="11">
        <f>'June loan interest '!P15</f>
        <v>117.59358288770052</v>
      </c>
      <c r="I16" s="11">
        <f>'July Loan interest'!P15</f>
        <v>406.83453237410072</v>
      </c>
      <c r="J16" s="11">
        <f>'August Loan Interest'!J15</f>
        <v>213.83690987124464</v>
      </c>
      <c r="K16" s="11">
        <f>'September Loan Interest'!J15</f>
        <v>150</v>
      </c>
      <c r="L16" s="9"/>
      <c r="M16" s="9"/>
      <c r="N16" s="9"/>
      <c r="O16" s="15">
        <f t="shared" si="0"/>
        <v>2420.8477077952957</v>
      </c>
    </row>
    <row r="17" spans="1:15" x14ac:dyDescent="0.35">
      <c r="A17" s="18">
        <v>13</v>
      </c>
      <c r="B17" s="18" t="s">
        <v>11</v>
      </c>
      <c r="C17" s="11">
        <f>'Jan Loan Interest'!P16</f>
        <v>161.25</v>
      </c>
      <c r="D17" s="11">
        <f>'Feb Loan Interest'!P16</f>
        <v>165.83985973115136</v>
      </c>
      <c r="E17" s="11">
        <f>'Mar Loan Interest '!P16</f>
        <v>161.85898395721927</v>
      </c>
      <c r="F17" s="11">
        <f>'Apr Loan Interest'!P16</f>
        <v>397.18309859154931</v>
      </c>
      <c r="G17" s="11">
        <f>'May loan interest'!P16</f>
        <v>184.08737541528239</v>
      </c>
      <c r="H17" s="11">
        <f>'June loan interest '!P16</f>
        <v>164.63101604278074</v>
      </c>
      <c r="I17" s="11">
        <f>'July Loan interest'!P16</f>
        <v>244.10071942446046</v>
      </c>
      <c r="J17" s="11">
        <f>'August Loan Interest'!J16</f>
        <v>149.68583690987123</v>
      </c>
      <c r="K17" s="11">
        <f>'September Loan Interest'!J16</f>
        <v>120</v>
      </c>
      <c r="L17" s="9"/>
      <c r="M17" s="9"/>
      <c r="N17" s="9"/>
      <c r="O17" s="15">
        <f t="shared" si="0"/>
        <v>1748.6368900723146</v>
      </c>
    </row>
    <row r="18" spans="1:15" x14ac:dyDescent="0.35">
      <c r="O18" s="5"/>
    </row>
    <row r="19" spans="1:15" ht="15" thickBot="1" x14ac:dyDescent="0.4">
      <c r="C19" s="7">
        <f>SUM(C5:C18)</f>
        <v>16608.75</v>
      </c>
      <c r="D19" s="7">
        <f>SUM(D5:D17)</f>
        <v>20267.999999999996</v>
      </c>
      <c r="E19" s="7">
        <f t="shared" ref="E19:I19" si="1">SUM(E5:E17)</f>
        <v>12611.512500000003</v>
      </c>
      <c r="F19" s="7">
        <f t="shared" si="1"/>
        <v>7049.9999999999991</v>
      </c>
      <c r="G19" s="7">
        <f t="shared" si="1"/>
        <v>9235.0499999999993</v>
      </c>
      <c r="H19" s="7">
        <f t="shared" si="1"/>
        <v>4398</v>
      </c>
      <c r="I19" s="7">
        <f t="shared" si="1"/>
        <v>5654.9999999999991</v>
      </c>
      <c r="J19" s="7">
        <f>SUM(J5:J17)</f>
        <v>2491.2000000000003</v>
      </c>
      <c r="K19" s="7">
        <f>SUM(K5:K17)</f>
        <v>4200</v>
      </c>
      <c r="L19" s="46"/>
      <c r="M19" s="46"/>
      <c r="N19" s="46"/>
      <c r="O19" s="31">
        <f>SUM(O5:O18)</f>
        <v>82517.512500000012</v>
      </c>
    </row>
    <row r="20" spans="1:15" ht="15" thickTop="1" x14ac:dyDescent="0.35"/>
    <row r="21" spans="1:15" x14ac:dyDescent="0.35">
      <c r="D21" s="1"/>
      <c r="E21" s="1"/>
      <c r="F21" s="1"/>
      <c r="G21" s="1"/>
      <c r="H21" s="1"/>
      <c r="I21" s="1"/>
      <c r="J21" s="1"/>
    </row>
    <row r="22" spans="1:15" x14ac:dyDescent="0.35">
      <c r="D22" s="4"/>
      <c r="E22" s="4"/>
      <c r="F22" s="4"/>
      <c r="G22" s="4"/>
      <c r="H22" s="4"/>
      <c r="I22" s="4"/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AD806-550B-48B7-8E94-8D3E15505229}">
  <dimension ref="A1:M22"/>
  <sheetViews>
    <sheetView tabSelected="1" view="pageBreakPreview" zoomScale="124" zoomScaleNormal="100" zoomScaleSheetLayoutView="124" workbookViewId="0">
      <selection activeCell="M20" sqref="M20"/>
    </sheetView>
  </sheetViews>
  <sheetFormatPr defaultRowHeight="14.5" x14ac:dyDescent="0.35"/>
  <cols>
    <col min="2" max="2" width="17.7265625" bestFit="1" customWidth="1"/>
    <col min="3" max="3" width="8.90625" customWidth="1"/>
    <col min="4" max="4" width="9.36328125" bestFit="1" customWidth="1"/>
    <col min="12" max="12" width="6.81640625" bestFit="1" customWidth="1"/>
    <col min="13" max="13" width="11.7265625" bestFit="1" customWidth="1"/>
  </cols>
  <sheetData>
    <row r="1" spans="1:13" x14ac:dyDescent="0.35">
      <c r="A1" s="24" t="s">
        <v>34</v>
      </c>
      <c r="B1" s="24"/>
      <c r="C1" s="23" t="s">
        <v>83</v>
      </c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35">
      <c r="A2" s="20">
        <v>45748</v>
      </c>
      <c r="B2" s="18"/>
      <c r="C2" s="20"/>
      <c r="D2" s="20">
        <v>45748</v>
      </c>
      <c r="E2" s="20">
        <v>45778</v>
      </c>
      <c r="F2" s="20">
        <v>45809</v>
      </c>
      <c r="G2" s="20">
        <v>45839</v>
      </c>
      <c r="H2" s="20">
        <v>45870</v>
      </c>
      <c r="I2" s="20">
        <v>45901</v>
      </c>
      <c r="J2" s="20">
        <v>45931</v>
      </c>
      <c r="K2" s="20">
        <v>45962</v>
      </c>
      <c r="L2" s="20">
        <v>45992</v>
      </c>
      <c r="M2" s="18" t="s">
        <v>18</v>
      </c>
    </row>
    <row r="3" spans="1:13" x14ac:dyDescent="0.35">
      <c r="A3" s="18" t="s">
        <v>1</v>
      </c>
      <c r="B3" s="18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x14ac:dyDescent="0.35">
      <c r="A4" s="18">
        <v>1</v>
      </c>
      <c r="B4" s="18" t="s">
        <v>2</v>
      </c>
      <c r="C4" s="10"/>
      <c r="D4" s="10">
        <f>$D$21</f>
        <v>53.07692307692308</v>
      </c>
      <c r="E4" s="10"/>
      <c r="F4" s="10"/>
      <c r="G4" s="10"/>
      <c r="H4" s="10"/>
      <c r="I4" s="10"/>
      <c r="J4" s="10"/>
      <c r="K4" s="10"/>
      <c r="L4" s="10"/>
      <c r="M4" s="14">
        <f t="shared" ref="M4:M16" si="0">SUM(D4:L4)</f>
        <v>53.07692307692308</v>
      </c>
    </row>
    <row r="5" spans="1:13" x14ac:dyDescent="0.35">
      <c r="A5" s="18">
        <v>2</v>
      </c>
      <c r="B5" s="18" t="s">
        <v>3</v>
      </c>
      <c r="C5" s="10"/>
      <c r="D5" s="10">
        <f t="shared" ref="D5:D16" si="1">$D$21</f>
        <v>53.07692307692308</v>
      </c>
      <c r="E5" s="10"/>
      <c r="F5" s="10"/>
      <c r="G5" s="10"/>
      <c r="H5" s="10"/>
      <c r="I5" s="10"/>
      <c r="J5" s="10"/>
      <c r="K5" s="10"/>
      <c r="L5" s="10"/>
      <c r="M5" s="14">
        <f t="shared" si="0"/>
        <v>53.07692307692308</v>
      </c>
    </row>
    <row r="6" spans="1:13" x14ac:dyDescent="0.35">
      <c r="A6" s="18">
        <v>3</v>
      </c>
      <c r="B6" s="18" t="s">
        <v>9</v>
      </c>
      <c r="C6" s="10"/>
      <c r="D6" s="10">
        <f t="shared" si="1"/>
        <v>53.07692307692308</v>
      </c>
      <c r="E6" s="10"/>
      <c r="F6" s="10"/>
      <c r="G6" s="10"/>
      <c r="H6" s="10"/>
      <c r="I6" s="10"/>
      <c r="J6" s="10"/>
      <c r="K6" s="10"/>
      <c r="L6" s="10"/>
      <c r="M6" s="14">
        <f t="shared" si="0"/>
        <v>53.07692307692308</v>
      </c>
    </row>
    <row r="7" spans="1:13" x14ac:dyDescent="0.35">
      <c r="A7" s="18">
        <v>4</v>
      </c>
      <c r="B7" s="18" t="s">
        <v>4</v>
      </c>
      <c r="C7" s="10"/>
      <c r="D7" s="10">
        <f t="shared" si="1"/>
        <v>53.07692307692308</v>
      </c>
      <c r="E7" s="10"/>
      <c r="F7" s="10"/>
      <c r="G7" s="10"/>
      <c r="H7" s="10"/>
      <c r="I7" s="10"/>
      <c r="J7" s="10"/>
      <c r="K7" s="10"/>
      <c r="L7" s="10"/>
      <c r="M7" s="14">
        <f t="shared" si="0"/>
        <v>53.07692307692308</v>
      </c>
    </row>
    <row r="8" spans="1:13" x14ac:dyDescent="0.35">
      <c r="A8" s="18">
        <v>5</v>
      </c>
      <c r="B8" s="18" t="s">
        <v>5</v>
      </c>
      <c r="C8" s="10"/>
      <c r="D8" s="10">
        <f t="shared" si="1"/>
        <v>53.07692307692308</v>
      </c>
      <c r="E8" s="10"/>
      <c r="F8" s="10"/>
      <c r="G8" s="10"/>
      <c r="H8" s="10"/>
      <c r="I8" s="10"/>
      <c r="J8" s="10"/>
      <c r="K8" s="10"/>
      <c r="L8" s="10"/>
      <c r="M8" s="14">
        <f t="shared" si="0"/>
        <v>53.07692307692308</v>
      </c>
    </row>
    <row r="9" spans="1:13" x14ac:dyDescent="0.35">
      <c r="A9" s="18">
        <v>6</v>
      </c>
      <c r="B9" s="18" t="s">
        <v>6</v>
      </c>
      <c r="C9" s="10"/>
      <c r="D9" s="10">
        <f t="shared" si="1"/>
        <v>53.07692307692308</v>
      </c>
      <c r="E9" s="10"/>
      <c r="F9" s="10"/>
      <c r="G9" s="10"/>
      <c r="H9" s="10"/>
      <c r="I9" s="10"/>
      <c r="J9" s="10"/>
      <c r="K9" s="10"/>
      <c r="L9" s="10"/>
      <c r="M9" s="14">
        <f t="shared" si="0"/>
        <v>53.07692307692308</v>
      </c>
    </row>
    <row r="10" spans="1:13" x14ac:dyDescent="0.35">
      <c r="A10" s="18">
        <v>7</v>
      </c>
      <c r="B10" s="18" t="s">
        <v>7</v>
      </c>
      <c r="C10" s="10"/>
      <c r="D10" s="10">
        <f t="shared" si="1"/>
        <v>53.07692307692308</v>
      </c>
      <c r="E10" s="10"/>
      <c r="F10" s="10"/>
      <c r="G10" s="10"/>
      <c r="H10" s="10"/>
      <c r="I10" s="10"/>
      <c r="J10" s="10"/>
      <c r="K10" s="10"/>
      <c r="L10" s="10"/>
      <c r="M10" s="14">
        <f t="shared" si="0"/>
        <v>53.07692307692308</v>
      </c>
    </row>
    <row r="11" spans="1:13" x14ac:dyDescent="0.35">
      <c r="A11" s="18">
        <v>8</v>
      </c>
      <c r="B11" s="18" t="s">
        <v>12</v>
      </c>
      <c r="C11" s="10"/>
      <c r="D11" s="10">
        <f t="shared" si="1"/>
        <v>53.07692307692308</v>
      </c>
      <c r="E11" s="10"/>
      <c r="F11" s="10"/>
      <c r="G11" s="10"/>
      <c r="H11" s="10"/>
      <c r="I11" s="10"/>
      <c r="J11" s="10"/>
      <c r="K11" s="10"/>
      <c r="L11" s="10"/>
      <c r="M11" s="14">
        <f t="shared" si="0"/>
        <v>53.07692307692308</v>
      </c>
    </row>
    <row r="12" spans="1:13" x14ac:dyDescent="0.35">
      <c r="A12" s="18">
        <v>9</v>
      </c>
      <c r="B12" s="18" t="s">
        <v>8</v>
      </c>
      <c r="C12" s="10"/>
      <c r="D12" s="10">
        <f t="shared" si="1"/>
        <v>53.07692307692308</v>
      </c>
      <c r="E12" s="10"/>
      <c r="F12" s="10"/>
      <c r="G12" s="10"/>
      <c r="H12" s="10"/>
      <c r="I12" s="10"/>
      <c r="J12" s="10"/>
      <c r="K12" s="10"/>
      <c r="L12" s="10"/>
      <c r="M12" s="14">
        <f t="shared" si="0"/>
        <v>53.07692307692308</v>
      </c>
    </row>
    <row r="13" spans="1:13" x14ac:dyDescent="0.35">
      <c r="A13" s="18">
        <v>10</v>
      </c>
      <c r="B13" s="18" t="s">
        <v>13</v>
      </c>
      <c r="C13" s="10"/>
      <c r="D13" s="10">
        <f t="shared" si="1"/>
        <v>53.07692307692308</v>
      </c>
      <c r="E13" s="10"/>
      <c r="F13" s="10"/>
      <c r="G13" s="10"/>
      <c r="H13" s="10"/>
      <c r="I13" s="10"/>
      <c r="J13" s="10"/>
      <c r="K13" s="10"/>
      <c r="L13" s="10"/>
      <c r="M13" s="14">
        <f t="shared" si="0"/>
        <v>53.07692307692308</v>
      </c>
    </row>
    <row r="14" spans="1:13" x14ac:dyDescent="0.35">
      <c r="A14" s="18">
        <v>11</v>
      </c>
      <c r="B14" s="18" t="s">
        <v>10</v>
      </c>
      <c r="C14" s="10"/>
      <c r="D14" s="10">
        <f t="shared" si="1"/>
        <v>53.07692307692308</v>
      </c>
      <c r="E14" s="10"/>
      <c r="F14" s="10"/>
      <c r="G14" s="10"/>
      <c r="H14" s="10"/>
      <c r="I14" s="10"/>
      <c r="J14" s="10"/>
      <c r="K14" s="10"/>
      <c r="L14" s="10"/>
      <c r="M14" s="14">
        <f t="shared" si="0"/>
        <v>53.07692307692308</v>
      </c>
    </row>
    <row r="15" spans="1:13" x14ac:dyDescent="0.35">
      <c r="A15" s="18">
        <v>12</v>
      </c>
      <c r="B15" s="18" t="s">
        <v>14</v>
      </c>
      <c r="C15" s="10"/>
      <c r="D15" s="10">
        <f t="shared" si="1"/>
        <v>53.07692307692308</v>
      </c>
      <c r="E15" s="10"/>
      <c r="F15" s="10"/>
      <c r="G15" s="10"/>
      <c r="H15" s="10"/>
      <c r="I15" s="10"/>
      <c r="J15" s="10"/>
      <c r="K15" s="10"/>
      <c r="L15" s="10"/>
      <c r="M15" s="14">
        <f t="shared" si="0"/>
        <v>53.07692307692308</v>
      </c>
    </row>
    <row r="16" spans="1:13" x14ac:dyDescent="0.35">
      <c r="A16" s="18">
        <v>13</v>
      </c>
      <c r="B16" s="18" t="s">
        <v>11</v>
      </c>
      <c r="C16" s="10"/>
      <c r="D16" s="10">
        <f t="shared" si="1"/>
        <v>53.07692307692308</v>
      </c>
      <c r="E16" s="10"/>
      <c r="F16" s="10"/>
      <c r="G16" s="10"/>
      <c r="H16" s="10"/>
      <c r="I16" s="10"/>
      <c r="J16" s="10"/>
      <c r="K16" s="10"/>
      <c r="L16" s="10"/>
      <c r="M16" s="14">
        <f t="shared" si="0"/>
        <v>53.07692307692308</v>
      </c>
    </row>
    <row r="17" spans="2:13" x14ac:dyDescent="0.35">
      <c r="C17" s="1"/>
      <c r="D17" s="1"/>
      <c r="E17" s="1"/>
      <c r="F17" s="1"/>
      <c r="G17" s="1"/>
      <c r="H17" s="1"/>
      <c r="I17" s="1"/>
      <c r="J17" s="1"/>
      <c r="K17" s="1"/>
      <c r="L17" s="1"/>
      <c r="M17" s="3"/>
    </row>
    <row r="18" spans="2:13" x14ac:dyDescent="0.35">
      <c r="B18" s="24" t="s">
        <v>78</v>
      </c>
      <c r="D18" s="3">
        <f>Declarations!H75</f>
        <v>600</v>
      </c>
      <c r="E18" s="3">
        <f t="shared" ref="E18:K18" si="2">SUM(E4:E17)</f>
        <v>0</v>
      </c>
      <c r="F18" s="3">
        <f t="shared" si="2"/>
        <v>0</v>
      </c>
      <c r="G18" s="3">
        <f t="shared" si="2"/>
        <v>0</v>
      </c>
      <c r="H18" s="3">
        <f t="shared" si="2"/>
        <v>0</v>
      </c>
      <c r="I18" s="3">
        <f t="shared" si="2"/>
        <v>0</v>
      </c>
      <c r="J18" s="3">
        <f t="shared" si="2"/>
        <v>0</v>
      </c>
      <c r="K18" s="3">
        <f t="shared" si="2"/>
        <v>0</v>
      </c>
      <c r="L18" s="1"/>
      <c r="M18" s="3">
        <f>SUM(M4:M17)</f>
        <v>690.00000000000011</v>
      </c>
    </row>
    <row r="19" spans="2:13" x14ac:dyDescent="0.35">
      <c r="B19" s="24" t="s">
        <v>35</v>
      </c>
      <c r="C19" s="1"/>
      <c r="D19" s="1">
        <f>D18*0.15</f>
        <v>90</v>
      </c>
      <c r="E19" s="1"/>
      <c r="F19" s="1"/>
      <c r="G19" s="1"/>
      <c r="H19" s="1"/>
      <c r="I19" s="1"/>
      <c r="J19" s="1"/>
      <c r="K19" s="1"/>
      <c r="L19" s="1"/>
      <c r="M19" s="1"/>
    </row>
    <row r="20" spans="2:13" ht="29" x14ac:dyDescent="0.35">
      <c r="B20" s="48" t="s">
        <v>81</v>
      </c>
      <c r="C20" s="1"/>
      <c r="D20" s="1">
        <f>SUM(D18:D19)</f>
        <v>690</v>
      </c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35">
      <c r="B21" s="24" t="s">
        <v>82</v>
      </c>
      <c r="D21" s="3">
        <f>D20/13</f>
        <v>53.07692307692308</v>
      </c>
      <c r="E21" s="1"/>
      <c r="F21" s="1"/>
      <c r="G21" s="1"/>
      <c r="H21" s="1"/>
      <c r="I21" s="1"/>
      <c r="J21" s="1"/>
      <c r="K21" s="1"/>
      <c r="L21" s="1"/>
      <c r="M21" s="1"/>
    </row>
    <row r="22" spans="2:13" x14ac:dyDescent="0.35">
      <c r="D22" s="1"/>
      <c r="E22" s="1"/>
      <c r="F22" s="1"/>
      <c r="G22" s="1"/>
      <c r="H22" s="1"/>
      <c r="I22" s="1"/>
      <c r="J22" s="1"/>
      <c r="K22" s="1"/>
      <c r="L22" s="1"/>
      <c r="M22" s="1"/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87AC0-EC3C-43B4-A0D9-D15505F63FB0}">
  <dimension ref="A1:P32"/>
  <sheetViews>
    <sheetView view="pageBreakPreview" topLeftCell="A13" zoomScaleNormal="100" zoomScaleSheetLayoutView="100" workbookViewId="0">
      <selection activeCell="I35" sqref="I35"/>
    </sheetView>
  </sheetViews>
  <sheetFormatPr defaultRowHeight="14.5" x14ac:dyDescent="0.35"/>
  <cols>
    <col min="2" max="2" width="17.7265625" bestFit="1" customWidth="1"/>
    <col min="3" max="4" width="10.1796875" bestFit="1" customWidth="1"/>
    <col min="5" max="5" width="9.7265625" customWidth="1"/>
    <col min="6" max="7" width="9.1796875" bestFit="1" customWidth="1"/>
    <col min="8" max="9" width="10.1796875" bestFit="1" customWidth="1"/>
    <col min="16" max="16" width="11.7265625" bestFit="1" customWidth="1"/>
  </cols>
  <sheetData>
    <row r="1" spans="1:16" x14ac:dyDescent="0.35">
      <c r="A1" s="24" t="s">
        <v>34</v>
      </c>
      <c r="B1" s="24"/>
      <c r="C1" s="23" t="s">
        <v>35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5">
      <c r="A2" s="18"/>
      <c r="B2" s="18"/>
      <c r="C2" s="20"/>
      <c r="D2" s="20">
        <v>45658</v>
      </c>
      <c r="E2" s="20">
        <v>45689</v>
      </c>
      <c r="F2" s="20">
        <v>45717</v>
      </c>
      <c r="G2" s="20">
        <v>45748</v>
      </c>
      <c r="H2" s="20">
        <v>45778</v>
      </c>
      <c r="I2" s="20">
        <v>45809</v>
      </c>
      <c r="J2" s="20">
        <v>45839</v>
      </c>
      <c r="K2" s="20">
        <v>45870</v>
      </c>
      <c r="L2" s="20">
        <v>45901</v>
      </c>
      <c r="M2" s="20">
        <v>45931</v>
      </c>
      <c r="N2" s="20">
        <v>45962</v>
      </c>
      <c r="O2" s="20">
        <v>45992</v>
      </c>
      <c r="P2" s="18" t="s">
        <v>18</v>
      </c>
    </row>
    <row r="3" spans="1:16" x14ac:dyDescent="0.35">
      <c r="A3" s="18" t="s">
        <v>1</v>
      </c>
      <c r="B3" s="18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35">
      <c r="A4" s="18">
        <v>1</v>
      </c>
      <c r="B4" s="18" t="s">
        <v>2</v>
      </c>
      <c r="C4" s="10">
        <f>1250</f>
        <v>1250</v>
      </c>
      <c r="D4" s="10">
        <f>C4*0.15</f>
        <v>187.5</v>
      </c>
      <c r="E4" s="10">
        <f t="shared" ref="E4:E16" si="0">C4/$C$18*$E$23</f>
        <v>22.754854368932037</v>
      </c>
      <c r="F4" s="10">
        <f>C4/$C$18*$F$25</f>
        <v>22.663834951456309</v>
      </c>
      <c r="G4" s="10">
        <f>C4/$C$18*$G$27</f>
        <v>24.211165048543688</v>
      </c>
      <c r="H4" s="10">
        <f>C4/$C$18*$H$29</f>
        <v>44.417475728155338</v>
      </c>
      <c r="I4" s="10">
        <f>C4/$C$18*$I$32</f>
        <v>101.57766990291262</v>
      </c>
      <c r="J4" s="10"/>
      <c r="K4" s="10"/>
      <c r="L4" s="10"/>
      <c r="M4" s="10"/>
      <c r="N4" s="10"/>
      <c r="O4" s="10"/>
      <c r="P4" s="14">
        <f>SUM(D4:O4)</f>
        <v>403.125</v>
      </c>
    </row>
    <row r="5" spans="1:16" x14ac:dyDescent="0.35">
      <c r="A5" s="18">
        <v>2</v>
      </c>
      <c r="B5" s="18" t="s">
        <v>3</v>
      </c>
      <c r="C5" s="10">
        <v>1500</v>
      </c>
      <c r="D5" s="10">
        <f t="shared" ref="D5:D16" si="1">C5*0.15</f>
        <v>225</v>
      </c>
      <c r="E5" s="10">
        <f t="shared" si="0"/>
        <v>27.305825242718448</v>
      </c>
      <c r="F5" s="10">
        <f t="shared" ref="F5:F16" si="2">C5/$C$18*$F$25</f>
        <v>27.196601941747574</v>
      </c>
      <c r="G5" s="10">
        <f t="shared" ref="G5:G16" si="3">C5/$C$18*$G$27</f>
        <v>29.053398058252426</v>
      </c>
      <c r="H5" s="10">
        <f t="shared" ref="H5:H16" si="4">C5/$C$18*$H$29</f>
        <v>53.300970873786412</v>
      </c>
      <c r="I5" s="10">
        <f t="shared" ref="I5:I16" si="5">C5/$C$18*$I$32</f>
        <v>121.89320388349515</v>
      </c>
      <c r="J5" s="10"/>
      <c r="K5" s="10"/>
      <c r="L5" s="10"/>
      <c r="M5" s="10"/>
      <c r="N5" s="10"/>
      <c r="O5" s="10"/>
      <c r="P5" s="14">
        <f t="shared" ref="P5:P15" si="6">SUM(D5:O5)</f>
        <v>483.75</v>
      </c>
    </row>
    <row r="6" spans="1:16" x14ac:dyDescent="0.35">
      <c r="A6" s="18">
        <v>3</v>
      </c>
      <c r="B6" s="18" t="s">
        <v>9</v>
      </c>
      <c r="C6" s="10">
        <v>5000</v>
      </c>
      <c r="D6" s="10">
        <f t="shared" si="1"/>
        <v>750</v>
      </c>
      <c r="E6" s="10">
        <f t="shared" si="0"/>
        <v>91.019417475728147</v>
      </c>
      <c r="F6" s="10">
        <f t="shared" si="2"/>
        <v>90.655339805825236</v>
      </c>
      <c r="G6" s="10">
        <f t="shared" si="3"/>
        <v>96.84466019417475</v>
      </c>
      <c r="H6" s="10">
        <f t="shared" si="4"/>
        <v>177.66990291262135</v>
      </c>
      <c r="I6" s="10">
        <f t="shared" si="5"/>
        <v>406.31067961165047</v>
      </c>
      <c r="J6" s="10"/>
      <c r="K6" s="10"/>
      <c r="L6" s="10"/>
      <c r="M6" s="10"/>
      <c r="N6" s="10"/>
      <c r="O6" s="10"/>
      <c r="P6" s="14">
        <f t="shared" si="6"/>
        <v>1612.5</v>
      </c>
    </row>
    <row r="7" spans="1:16" x14ac:dyDescent="0.35">
      <c r="A7" s="18">
        <v>4</v>
      </c>
      <c r="B7" s="18" t="s">
        <v>4</v>
      </c>
      <c r="C7" s="10">
        <v>20000</v>
      </c>
      <c r="D7" s="10">
        <f t="shared" si="1"/>
        <v>3000</v>
      </c>
      <c r="E7" s="10">
        <f t="shared" si="0"/>
        <v>364.07766990291259</v>
      </c>
      <c r="F7" s="10">
        <f t="shared" si="2"/>
        <v>362.62135922330094</v>
      </c>
      <c r="G7" s="10">
        <f t="shared" si="3"/>
        <v>387.378640776699</v>
      </c>
      <c r="H7" s="10">
        <f t="shared" si="4"/>
        <v>710.67961165048541</v>
      </c>
      <c r="I7" s="10">
        <f t="shared" si="5"/>
        <v>1625.2427184466019</v>
      </c>
      <c r="J7" s="10"/>
      <c r="K7" s="10"/>
      <c r="L7" s="10"/>
      <c r="M7" s="10"/>
      <c r="N7" s="10"/>
      <c r="O7" s="10"/>
      <c r="P7" s="14">
        <f t="shared" si="6"/>
        <v>6450</v>
      </c>
    </row>
    <row r="8" spans="1:16" x14ac:dyDescent="0.35">
      <c r="A8" s="18">
        <v>5</v>
      </c>
      <c r="B8" s="18" t="s">
        <v>5</v>
      </c>
      <c r="C8" s="10">
        <v>500</v>
      </c>
      <c r="D8" s="10">
        <f t="shared" si="1"/>
        <v>75</v>
      </c>
      <c r="E8" s="10">
        <f t="shared" si="0"/>
        <v>9.1019417475728144</v>
      </c>
      <c r="F8" s="10">
        <f t="shared" si="2"/>
        <v>9.0655339805825239</v>
      </c>
      <c r="G8" s="10">
        <f t="shared" si="3"/>
        <v>9.6844660194174743</v>
      </c>
      <c r="H8" s="10">
        <f t="shared" si="4"/>
        <v>17.766990291262136</v>
      </c>
      <c r="I8" s="10">
        <f t="shared" si="5"/>
        <v>40.631067961165044</v>
      </c>
      <c r="J8" s="10"/>
      <c r="K8" s="10"/>
      <c r="L8" s="10"/>
      <c r="M8" s="10"/>
      <c r="N8" s="10"/>
      <c r="O8" s="10"/>
      <c r="P8" s="14">
        <f t="shared" si="6"/>
        <v>161.25</v>
      </c>
    </row>
    <row r="9" spans="1:16" x14ac:dyDescent="0.35">
      <c r="A9" s="18">
        <v>6</v>
      </c>
      <c r="B9" s="18" t="s">
        <v>6</v>
      </c>
      <c r="C9" s="10">
        <v>9250</v>
      </c>
      <c r="D9" s="10">
        <f t="shared" si="1"/>
        <v>1387.5</v>
      </c>
      <c r="E9" s="10">
        <f t="shared" si="0"/>
        <v>168.38592233009709</v>
      </c>
      <c r="F9" s="10">
        <f t="shared" si="2"/>
        <v>167.71237864077671</v>
      </c>
      <c r="G9" s="10">
        <f t="shared" si="3"/>
        <v>179.16262135922329</v>
      </c>
      <c r="H9" s="10">
        <f t="shared" si="4"/>
        <v>328.68932038834953</v>
      </c>
      <c r="I9" s="10">
        <f t="shared" si="5"/>
        <v>751.67475728155341</v>
      </c>
      <c r="J9" s="10"/>
      <c r="K9" s="10"/>
      <c r="L9" s="10"/>
      <c r="M9" s="10"/>
      <c r="N9" s="10"/>
      <c r="O9" s="10"/>
      <c r="P9" s="14">
        <f t="shared" si="6"/>
        <v>2983.125</v>
      </c>
    </row>
    <row r="10" spans="1:16" x14ac:dyDescent="0.35">
      <c r="A10" s="18">
        <v>7</v>
      </c>
      <c r="B10" s="18" t="s">
        <v>7</v>
      </c>
      <c r="C10" s="10">
        <v>500</v>
      </c>
      <c r="D10" s="10">
        <f t="shared" si="1"/>
        <v>75</v>
      </c>
      <c r="E10" s="10">
        <f t="shared" si="0"/>
        <v>9.1019417475728144</v>
      </c>
      <c r="F10" s="10">
        <f t="shared" si="2"/>
        <v>9.0655339805825239</v>
      </c>
      <c r="G10" s="10">
        <f t="shared" si="3"/>
        <v>9.6844660194174743</v>
      </c>
      <c r="H10" s="10">
        <f t="shared" si="4"/>
        <v>17.766990291262136</v>
      </c>
      <c r="I10" s="10">
        <f t="shared" si="5"/>
        <v>40.631067961165044</v>
      </c>
      <c r="J10" s="10"/>
      <c r="K10" s="10"/>
      <c r="L10" s="10"/>
      <c r="M10" s="10"/>
      <c r="N10" s="10"/>
      <c r="O10" s="10"/>
      <c r="P10" s="14">
        <f t="shared" si="6"/>
        <v>161.25</v>
      </c>
    </row>
    <row r="11" spans="1:16" x14ac:dyDescent="0.35">
      <c r="A11" s="18">
        <v>8</v>
      </c>
      <c r="B11" s="18" t="s">
        <v>12</v>
      </c>
      <c r="C11" s="10">
        <v>11000</v>
      </c>
      <c r="D11" s="10">
        <f t="shared" si="1"/>
        <v>1650</v>
      </c>
      <c r="E11" s="10">
        <f t="shared" si="0"/>
        <v>200.24271844660194</v>
      </c>
      <c r="F11" s="10">
        <f t="shared" si="2"/>
        <v>199.44174757281553</v>
      </c>
      <c r="G11" s="10">
        <f t="shared" si="3"/>
        <v>213.05825242718444</v>
      </c>
      <c r="H11" s="10">
        <f t="shared" si="4"/>
        <v>390.87378640776694</v>
      </c>
      <c r="I11" s="10">
        <f t="shared" si="5"/>
        <v>893.88349514563106</v>
      </c>
      <c r="J11" s="10"/>
      <c r="K11" s="10"/>
      <c r="L11" s="10"/>
      <c r="M11" s="10"/>
      <c r="N11" s="10"/>
      <c r="O11" s="10"/>
      <c r="P11" s="14">
        <f t="shared" si="6"/>
        <v>3547.5</v>
      </c>
    </row>
    <row r="12" spans="1:16" x14ac:dyDescent="0.35">
      <c r="A12" s="18">
        <v>9</v>
      </c>
      <c r="B12" s="18" t="s">
        <v>8</v>
      </c>
      <c r="C12" s="10">
        <v>1000</v>
      </c>
      <c r="D12" s="10">
        <f t="shared" si="1"/>
        <v>150</v>
      </c>
      <c r="E12" s="10">
        <f t="shared" si="0"/>
        <v>18.203883495145629</v>
      </c>
      <c r="F12" s="10">
        <f t="shared" si="2"/>
        <v>18.131067961165048</v>
      </c>
      <c r="G12" s="10">
        <f t="shared" si="3"/>
        <v>19.368932038834949</v>
      </c>
      <c r="H12" s="10">
        <f t="shared" si="4"/>
        <v>35.533980582524272</v>
      </c>
      <c r="I12" s="10">
        <f t="shared" si="5"/>
        <v>81.262135922330089</v>
      </c>
      <c r="J12" s="10"/>
      <c r="K12" s="10"/>
      <c r="L12" s="10"/>
      <c r="M12" s="10"/>
      <c r="N12" s="10"/>
      <c r="O12" s="10"/>
      <c r="P12" s="14">
        <f t="shared" si="6"/>
        <v>322.5</v>
      </c>
    </row>
    <row r="13" spans="1:16" x14ac:dyDescent="0.35">
      <c r="A13" s="18">
        <v>10</v>
      </c>
      <c r="B13" s="18" t="s">
        <v>13</v>
      </c>
      <c r="C13" s="10">
        <v>500</v>
      </c>
      <c r="D13" s="10">
        <f t="shared" si="1"/>
        <v>75</v>
      </c>
      <c r="E13" s="10">
        <f t="shared" si="0"/>
        <v>9.1019417475728144</v>
      </c>
      <c r="F13" s="10">
        <f t="shared" si="2"/>
        <v>9.0655339805825239</v>
      </c>
      <c r="G13" s="10">
        <f t="shared" si="3"/>
        <v>9.6844660194174743</v>
      </c>
      <c r="H13" s="10">
        <f t="shared" si="4"/>
        <v>17.766990291262136</v>
      </c>
      <c r="I13" s="10">
        <f t="shared" si="5"/>
        <v>40.631067961165044</v>
      </c>
      <c r="J13" s="10"/>
      <c r="K13" s="10"/>
      <c r="L13" s="10"/>
      <c r="M13" s="10"/>
      <c r="N13" s="10"/>
      <c r="O13" s="10"/>
      <c r="P13" s="14">
        <f t="shared" si="6"/>
        <v>161.25</v>
      </c>
    </row>
    <row r="14" spans="1:16" x14ac:dyDescent="0.35">
      <c r="A14" s="18">
        <v>11</v>
      </c>
      <c r="B14" s="18" t="s">
        <v>10</v>
      </c>
      <c r="C14" s="10">
        <v>0</v>
      </c>
      <c r="D14" s="10">
        <f t="shared" si="1"/>
        <v>0</v>
      </c>
      <c r="E14" s="10">
        <f t="shared" si="0"/>
        <v>0</v>
      </c>
      <c r="F14" s="10">
        <f t="shared" si="2"/>
        <v>0</v>
      </c>
      <c r="G14" s="10">
        <f t="shared" si="3"/>
        <v>0</v>
      </c>
      <c r="H14" s="10">
        <f t="shared" si="4"/>
        <v>0</v>
      </c>
      <c r="I14" s="10">
        <f t="shared" si="5"/>
        <v>0</v>
      </c>
      <c r="J14" s="10"/>
      <c r="K14" s="10"/>
      <c r="L14" s="10"/>
      <c r="M14" s="10"/>
      <c r="N14" s="10"/>
      <c r="O14" s="10"/>
      <c r="P14" s="14">
        <f t="shared" si="6"/>
        <v>0</v>
      </c>
    </row>
    <row r="15" spans="1:16" x14ac:dyDescent="0.35">
      <c r="A15" s="18">
        <v>12</v>
      </c>
      <c r="B15" s="18" t="s">
        <v>14</v>
      </c>
      <c r="C15" s="10">
        <v>500</v>
      </c>
      <c r="D15" s="10">
        <f t="shared" si="1"/>
        <v>75</v>
      </c>
      <c r="E15" s="10">
        <f t="shared" si="0"/>
        <v>9.1019417475728144</v>
      </c>
      <c r="F15" s="10">
        <f t="shared" si="2"/>
        <v>9.0655339805825239</v>
      </c>
      <c r="G15" s="10">
        <f t="shared" si="3"/>
        <v>9.6844660194174743</v>
      </c>
      <c r="H15" s="10">
        <f t="shared" si="4"/>
        <v>17.766990291262136</v>
      </c>
      <c r="I15" s="10">
        <f t="shared" si="5"/>
        <v>40.631067961165044</v>
      </c>
      <c r="J15" s="10"/>
      <c r="K15" s="10"/>
      <c r="L15" s="10"/>
      <c r="M15" s="10"/>
      <c r="N15" s="10"/>
      <c r="O15" s="10"/>
      <c r="P15" s="14">
        <f t="shared" si="6"/>
        <v>161.25</v>
      </c>
    </row>
    <row r="16" spans="1:16" x14ac:dyDescent="0.35">
      <c r="A16" s="18">
        <v>13</v>
      </c>
      <c r="B16" s="18" t="s">
        <v>11</v>
      </c>
      <c r="C16" s="10">
        <v>500</v>
      </c>
      <c r="D16" s="10">
        <f t="shared" si="1"/>
        <v>75</v>
      </c>
      <c r="E16" s="10">
        <f t="shared" si="0"/>
        <v>9.1019417475728144</v>
      </c>
      <c r="F16" s="10">
        <f t="shared" si="2"/>
        <v>9.0655339805825239</v>
      </c>
      <c r="G16" s="10">
        <f t="shared" si="3"/>
        <v>9.6844660194174743</v>
      </c>
      <c r="H16" s="10">
        <f t="shared" si="4"/>
        <v>17.766990291262136</v>
      </c>
      <c r="I16" s="10">
        <f t="shared" si="5"/>
        <v>40.631067961165044</v>
      </c>
      <c r="J16" s="10"/>
      <c r="K16" s="10"/>
      <c r="L16" s="10"/>
      <c r="M16" s="10"/>
      <c r="N16" s="10"/>
      <c r="O16" s="10"/>
      <c r="P16" s="14">
        <f>SUM(D16:O16)</f>
        <v>161.25</v>
      </c>
    </row>
    <row r="17" spans="1:16" x14ac:dyDescent="0.3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</row>
    <row r="18" spans="1:16" x14ac:dyDescent="0.35">
      <c r="C18" s="3">
        <f>SUM(C4:C17)</f>
        <v>51500</v>
      </c>
      <c r="D18" s="3">
        <f>SUM(D4:D17)</f>
        <v>7725</v>
      </c>
      <c r="E18" s="3">
        <f>SUM(E4:E17)</f>
        <v>937.49999999999989</v>
      </c>
      <c r="F18" s="3">
        <f t="shared" ref="F18:N18" si="7">SUM(F4:F17)</f>
        <v>933.74999999999977</v>
      </c>
      <c r="G18" s="3">
        <f>SUM(G4:G17)</f>
        <v>997.50000000000023</v>
      </c>
      <c r="H18" s="3">
        <f t="shared" si="7"/>
        <v>1830</v>
      </c>
      <c r="I18" s="3">
        <f t="shared" si="7"/>
        <v>4185</v>
      </c>
      <c r="J18" s="3">
        <f t="shared" si="7"/>
        <v>0</v>
      </c>
      <c r="K18" s="3">
        <f t="shared" si="7"/>
        <v>0</v>
      </c>
      <c r="L18" s="3">
        <f t="shared" si="7"/>
        <v>0</v>
      </c>
      <c r="M18" s="3">
        <f t="shared" si="7"/>
        <v>0</v>
      </c>
      <c r="N18" s="3">
        <f t="shared" si="7"/>
        <v>0</v>
      </c>
      <c r="O18" s="1"/>
      <c r="P18" s="3">
        <f>SUM(P4:P17)</f>
        <v>16608.75</v>
      </c>
    </row>
    <row r="19" spans="1:16" x14ac:dyDescent="0.3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t="s">
        <v>56</v>
      </c>
      <c r="D21" s="3">
        <v>51500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5">
      <c r="A22" t="s">
        <v>69</v>
      </c>
      <c r="D22" s="1"/>
      <c r="E22" s="3">
        <f>Declarations!D37</f>
        <v>6250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5">
      <c r="E23" s="1">
        <f>E22*0.15</f>
        <v>937.5</v>
      </c>
    </row>
    <row r="24" spans="1:16" x14ac:dyDescent="0.35">
      <c r="A24" t="s">
        <v>70</v>
      </c>
      <c r="F24" s="3">
        <f>Declarations!D56</f>
        <v>6225</v>
      </c>
    </row>
    <row r="25" spans="1:16" x14ac:dyDescent="0.35">
      <c r="F25" s="1">
        <f>F24*0.15</f>
        <v>933.75</v>
      </c>
    </row>
    <row r="26" spans="1:16" x14ac:dyDescent="0.35">
      <c r="A26" t="s">
        <v>76</v>
      </c>
      <c r="G26" s="6">
        <f>Declarations!D75</f>
        <v>6650</v>
      </c>
    </row>
    <row r="27" spans="1:16" x14ac:dyDescent="0.35">
      <c r="G27" s="4">
        <f>G26*0.15</f>
        <v>997.5</v>
      </c>
    </row>
    <row r="28" spans="1:16" x14ac:dyDescent="0.35">
      <c r="A28" t="s">
        <v>86</v>
      </c>
      <c r="H28" s="6">
        <f>Declarations!D94</f>
        <v>12200</v>
      </c>
    </row>
    <row r="29" spans="1:16" x14ac:dyDescent="0.35">
      <c r="H29" s="4">
        <f>H28*0.15</f>
        <v>1830</v>
      </c>
    </row>
    <row r="31" spans="1:16" x14ac:dyDescent="0.35">
      <c r="A31" t="s">
        <v>93</v>
      </c>
      <c r="I31" s="6">
        <f>Declarations!D112</f>
        <v>27900</v>
      </c>
    </row>
    <row r="32" spans="1:16" x14ac:dyDescent="0.35">
      <c r="I32" s="4">
        <f>I31*0.15</f>
        <v>4185</v>
      </c>
    </row>
  </sheetData>
  <pageMargins left="0.7" right="0.7" top="0.75" bottom="0.75" header="0.3" footer="0.3"/>
  <pageSetup paperSize="9" scale="5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9AE6-2C19-4A59-8B0F-68E4A5A61860}">
  <dimension ref="A1:P34"/>
  <sheetViews>
    <sheetView view="pageBreakPreview" zoomScaleNormal="100" zoomScaleSheetLayoutView="100" workbookViewId="0">
      <selection activeCell="L4" sqref="L4:L16"/>
    </sheetView>
  </sheetViews>
  <sheetFormatPr defaultRowHeight="14.5" x14ac:dyDescent="0.35"/>
  <cols>
    <col min="2" max="2" width="17.7265625" bestFit="1" customWidth="1"/>
    <col min="3" max="5" width="10.1796875" bestFit="1" customWidth="1"/>
    <col min="6" max="9" width="9.1796875" bestFit="1" customWidth="1"/>
    <col min="10" max="10" width="10.1796875" bestFit="1" customWidth="1"/>
    <col min="11" max="12" width="9.1796875" bestFit="1" customWidth="1"/>
    <col min="13" max="15" width="8.7265625" hidden="1" customWidth="1"/>
    <col min="16" max="16" width="12.54296875" bestFit="1" customWidth="1"/>
  </cols>
  <sheetData>
    <row r="1" spans="1:16" x14ac:dyDescent="0.35">
      <c r="A1" s="24" t="s">
        <v>34</v>
      </c>
      <c r="B1" s="24"/>
      <c r="C1" s="23" t="s">
        <v>35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5">
      <c r="A2" s="18"/>
      <c r="B2" s="18"/>
      <c r="C2" s="20"/>
      <c r="D2" s="20">
        <v>45658</v>
      </c>
      <c r="E2" s="20">
        <v>45689</v>
      </c>
      <c r="F2" s="20">
        <v>45717</v>
      </c>
      <c r="G2" s="20">
        <v>45748</v>
      </c>
      <c r="H2" s="20">
        <v>45778</v>
      </c>
      <c r="I2" s="20">
        <v>45809</v>
      </c>
      <c r="J2" s="20">
        <v>45839</v>
      </c>
      <c r="K2" s="20">
        <v>45870</v>
      </c>
      <c r="L2" s="20">
        <v>45901</v>
      </c>
      <c r="M2" s="20">
        <v>45931</v>
      </c>
      <c r="N2" s="20">
        <v>45962</v>
      </c>
      <c r="O2" s="20">
        <v>45992</v>
      </c>
      <c r="P2" s="18" t="s">
        <v>18</v>
      </c>
    </row>
    <row r="3" spans="1:16" x14ac:dyDescent="0.35">
      <c r="A3" s="18" t="s">
        <v>1</v>
      </c>
      <c r="B3" s="18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35">
      <c r="A4" s="18">
        <v>1</v>
      </c>
      <c r="B4" s="18" t="s">
        <v>2</v>
      </c>
      <c r="C4" s="10">
        <v>9800</v>
      </c>
      <c r="D4" s="10"/>
      <c r="E4" s="10">
        <f>C4*0.15</f>
        <v>1470</v>
      </c>
      <c r="F4" s="10">
        <f>C4/$C$18*$F$22</f>
        <v>130.07481005260081</v>
      </c>
      <c r="G4" s="10">
        <f>C4/$C$18*$G$24</f>
        <v>99.66101694915254</v>
      </c>
      <c r="H4" s="10">
        <f>C4/$C$18*$H$26</f>
        <v>99.66101694915254</v>
      </c>
      <c r="I4" s="10">
        <f>C4/$C$18*$I$28</f>
        <v>99.66101694915254</v>
      </c>
      <c r="J4" s="10">
        <f>C4/$C$18*$J$30</f>
        <v>302.41963763880773</v>
      </c>
      <c r="K4" s="10">
        <f>C4/$C$18*$K$32</f>
        <v>60.140268848626533</v>
      </c>
      <c r="L4" s="10">
        <f>C4/$C$18*$L$34</f>
        <v>60.140268848626533</v>
      </c>
      <c r="M4" s="10"/>
      <c r="N4" s="10"/>
      <c r="O4" s="10"/>
      <c r="P4" s="14">
        <f>SUM(D4:O4)</f>
        <v>2321.7580362361191</v>
      </c>
    </row>
    <row r="5" spans="1:16" x14ac:dyDescent="0.35">
      <c r="A5" s="18">
        <v>2</v>
      </c>
      <c r="B5" s="18" t="s">
        <v>3</v>
      </c>
      <c r="C5" s="10">
        <v>2000</v>
      </c>
      <c r="D5" s="10"/>
      <c r="E5" s="10">
        <f t="shared" ref="E5:E16" si="0">C5*0.15</f>
        <v>300</v>
      </c>
      <c r="F5" s="10">
        <f t="shared" ref="F5:F16" si="1">C5/$C$18*$F$22</f>
        <v>26.545879602571596</v>
      </c>
      <c r="G5" s="10">
        <f t="shared" ref="G5:G16" si="2">C5/$C$18*$G$24</f>
        <v>20.338983050847457</v>
      </c>
      <c r="H5" s="10">
        <f t="shared" ref="H5:H16" si="3">C5/$C$18*$H$26</f>
        <v>20.338983050847457</v>
      </c>
      <c r="I5" s="10">
        <f t="shared" ref="I5:I16" si="4">C5/$C$18*$I$28</f>
        <v>20.338983050847457</v>
      </c>
      <c r="J5" s="10">
        <f t="shared" ref="J5:J16" si="5">C5/$C$18*$J$30</f>
        <v>61.71829339567504</v>
      </c>
      <c r="K5" s="10">
        <f t="shared" ref="K5:K15" si="6">C5/$C$18*$K$32</f>
        <v>12.273524254821741</v>
      </c>
      <c r="L5" s="10">
        <f t="shared" ref="L5:L16" si="7">C5/$C$18*$L$34</f>
        <v>12.273524254821741</v>
      </c>
      <c r="M5" s="10"/>
      <c r="N5" s="10"/>
      <c r="O5" s="10"/>
      <c r="P5" s="14">
        <f t="shared" ref="P5:P15" si="8">SUM(D5:O5)</f>
        <v>473.82817066043242</v>
      </c>
    </row>
    <row r="6" spans="1:16" x14ac:dyDescent="0.35">
      <c r="A6" s="18">
        <v>3</v>
      </c>
      <c r="B6" s="18" t="s">
        <v>9</v>
      </c>
      <c r="C6" s="10">
        <v>500</v>
      </c>
      <c r="D6" s="10"/>
      <c r="E6" s="10">
        <f t="shared" si="0"/>
        <v>75</v>
      </c>
      <c r="F6" s="10">
        <f t="shared" si="1"/>
        <v>6.6364699006428989</v>
      </c>
      <c r="G6" s="10">
        <f t="shared" si="2"/>
        <v>5.0847457627118642</v>
      </c>
      <c r="H6" s="10">
        <f t="shared" si="3"/>
        <v>5.0847457627118642</v>
      </c>
      <c r="I6" s="10">
        <f t="shared" si="4"/>
        <v>5.0847457627118642</v>
      </c>
      <c r="J6" s="10">
        <f t="shared" si="5"/>
        <v>15.42957334891876</v>
      </c>
      <c r="K6" s="10">
        <f t="shared" si="6"/>
        <v>3.0683810637054352</v>
      </c>
      <c r="L6" s="10">
        <f t="shared" si="7"/>
        <v>3.0683810637054352</v>
      </c>
      <c r="M6" s="10"/>
      <c r="N6" s="10"/>
      <c r="O6" s="10"/>
      <c r="P6" s="14">
        <f t="shared" si="8"/>
        <v>118.4570426651081</v>
      </c>
    </row>
    <row r="7" spans="1:16" x14ac:dyDescent="0.35">
      <c r="A7" s="18">
        <v>4</v>
      </c>
      <c r="B7" s="18" t="s">
        <v>4</v>
      </c>
      <c r="C7" s="10">
        <v>500</v>
      </c>
      <c r="D7" s="10"/>
      <c r="E7" s="10">
        <f t="shared" si="0"/>
        <v>75</v>
      </c>
      <c r="F7" s="10">
        <f t="shared" si="1"/>
        <v>6.6364699006428989</v>
      </c>
      <c r="G7" s="10">
        <f t="shared" si="2"/>
        <v>5.0847457627118642</v>
      </c>
      <c r="H7" s="10">
        <f t="shared" si="3"/>
        <v>5.0847457627118642</v>
      </c>
      <c r="I7" s="10">
        <f t="shared" si="4"/>
        <v>5.0847457627118642</v>
      </c>
      <c r="J7" s="10">
        <f t="shared" si="5"/>
        <v>15.42957334891876</v>
      </c>
      <c r="K7" s="10">
        <f t="shared" si="6"/>
        <v>3.0683810637054352</v>
      </c>
      <c r="L7" s="10">
        <f t="shared" si="7"/>
        <v>3.0683810637054352</v>
      </c>
      <c r="M7" s="10"/>
      <c r="N7" s="10"/>
      <c r="O7" s="10"/>
      <c r="P7" s="14">
        <f t="shared" si="8"/>
        <v>118.4570426651081</v>
      </c>
    </row>
    <row r="8" spans="1:16" x14ac:dyDescent="0.35">
      <c r="A8" s="18">
        <v>5</v>
      </c>
      <c r="B8" s="18" t="s">
        <v>5</v>
      </c>
      <c r="C8" s="10">
        <v>31500</v>
      </c>
      <c r="D8" s="10"/>
      <c r="E8" s="10">
        <f t="shared" si="0"/>
        <v>4725</v>
      </c>
      <c r="F8" s="10">
        <f t="shared" si="1"/>
        <v>418.09760374050262</v>
      </c>
      <c r="G8" s="10">
        <f t="shared" si="2"/>
        <v>320.33898305084745</v>
      </c>
      <c r="H8" s="10">
        <f t="shared" si="3"/>
        <v>320.33898305084745</v>
      </c>
      <c r="I8" s="10">
        <f t="shared" si="4"/>
        <v>320.33898305084745</v>
      </c>
      <c r="J8" s="10">
        <f t="shared" si="5"/>
        <v>972.06312098188198</v>
      </c>
      <c r="K8" s="10">
        <f t="shared" si="6"/>
        <v>193.30800701344245</v>
      </c>
      <c r="L8" s="10">
        <f t="shared" si="7"/>
        <v>193.30800701344245</v>
      </c>
      <c r="M8" s="10"/>
      <c r="N8" s="10"/>
      <c r="O8" s="10"/>
      <c r="P8" s="14">
        <f t="shared" si="8"/>
        <v>7462.7936879018134</v>
      </c>
    </row>
    <row r="9" spans="1:16" x14ac:dyDescent="0.35">
      <c r="A9" s="18">
        <v>6</v>
      </c>
      <c r="B9" s="18" t="s">
        <v>6</v>
      </c>
      <c r="C9" s="10">
        <v>20750</v>
      </c>
      <c r="D9" s="10"/>
      <c r="E9" s="10">
        <f t="shared" si="0"/>
        <v>3112.5</v>
      </c>
      <c r="F9" s="10">
        <f t="shared" si="1"/>
        <v>275.4135008766803</v>
      </c>
      <c r="G9" s="10">
        <f t="shared" si="2"/>
        <v>211.01694915254237</v>
      </c>
      <c r="H9" s="10">
        <f t="shared" si="3"/>
        <v>211.01694915254237</v>
      </c>
      <c r="I9" s="10">
        <f t="shared" si="4"/>
        <v>211.01694915254237</v>
      </c>
      <c r="J9" s="10">
        <f t="shared" si="5"/>
        <v>640.32729398012862</v>
      </c>
      <c r="K9" s="10">
        <f t="shared" si="6"/>
        <v>127.33781414377557</v>
      </c>
      <c r="L9" s="10">
        <f t="shared" si="7"/>
        <v>127.33781414377557</v>
      </c>
      <c r="M9" s="10"/>
      <c r="N9" s="10"/>
      <c r="O9" s="10"/>
      <c r="P9" s="14">
        <f t="shared" si="8"/>
        <v>4915.9672706019865</v>
      </c>
    </row>
    <row r="10" spans="1:16" x14ac:dyDescent="0.35">
      <c r="A10" s="18">
        <v>7</v>
      </c>
      <c r="B10" s="18" t="s">
        <v>7</v>
      </c>
      <c r="C10" s="10">
        <v>600</v>
      </c>
      <c r="D10" s="10"/>
      <c r="E10" s="10">
        <f t="shared" si="0"/>
        <v>90</v>
      </c>
      <c r="F10" s="10">
        <f t="shared" si="1"/>
        <v>7.963763880771479</v>
      </c>
      <c r="G10" s="10">
        <f t="shared" si="2"/>
        <v>6.101694915254237</v>
      </c>
      <c r="H10" s="10">
        <f t="shared" si="3"/>
        <v>6.101694915254237</v>
      </c>
      <c r="I10" s="10">
        <f t="shared" si="4"/>
        <v>6.101694915254237</v>
      </c>
      <c r="J10" s="10">
        <f t="shared" si="5"/>
        <v>18.515488018702513</v>
      </c>
      <c r="K10" s="10">
        <f t="shared" si="6"/>
        <v>3.6820572764465225</v>
      </c>
      <c r="L10" s="10">
        <f t="shared" si="7"/>
        <v>3.6820572764465225</v>
      </c>
      <c r="M10" s="10"/>
      <c r="N10" s="10"/>
      <c r="O10" s="10"/>
      <c r="P10" s="14">
        <f t="shared" si="8"/>
        <v>142.14845119812978</v>
      </c>
    </row>
    <row r="11" spans="1:16" x14ac:dyDescent="0.35">
      <c r="A11" s="18">
        <v>8</v>
      </c>
      <c r="B11" s="18" t="s">
        <v>12</v>
      </c>
      <c r="C11" s="10">
        <v>500</v>
      </c>
      <c r="D11" s="10"/>
      <c r="E11" s="10">
        <f t="shared" si="0"/>
        <v>75</v>
      </c>
      <c r="F11" s="10">
        <f t="shared" si="1"/>
        <v>6.6364699006428989</v>
      </c>
      <c r="G11" s="10">
        <f t="shared" si="2"/>
        <v>5.0847457627118642</v>
      </c>
      <c r="H11" s="10">
        <f t="shared" si="3"/>
        <v>5.0847457627118642</v>
      </c>
      <c r="I11" s="10">
        <f t="shared" si="4"/>
        <v>5.0847457627118642</v>
      </c>
      <c r="J11" s="10">
        <f t="shared" si="5"/>
        <v>15.42957334891876</v>
      </c>
      <c r="K11" s="10">
        <f t="shared" si="6"/>
        <v>3.0683810637054352</v>
      </c>
      <c r="L11" s="10">
        <f t="shared" si="7"/>
        <v>3.0683810637054352</v>
      </c>
      <c r="M11" s="10"/>
      <c r="N11" s="10"/>
      <c r="O11" s="10"/>
      <c r="P11" s="14">
        <f t="shared" si="8"/>
        <v>118.4570426651081</v>
      </c>
    </row>
    <row r="12" spans="1:16" x14ac:dyDescent="0.35">
      <c r="A12" s="18">
        <v>9</v>
      </c>
      <c r="B12" s="18" t="s">
        <v>8</v>
      </c>
      <c r="C12" s="10">
        <v>7000</v>
      </c>
      <c r="D12" s="10"/>
      <c r="E12" s="10">
        <f t="shared" si="0"/>
        <v>1050</v>
      </c>
      <c r="F12" s="10">
        <f t="shared" si="1"/>
        <v>92.910578609000595</v>
      </c>
      <c r="G12" s="10">
        <f t="shared" si="2"/>
        <v>71.186440677966104</v>
      </c>
      <c r="H12" s="10">
        <f t="shared" si="3"/>
        <v>71.186440677966104</v>
      </c>
      <c r="I12" s="10">
        <f t="shared" si="4"/>
        <v>71.186440677966104</v>
      </c>
      <c r="J12" s="10">
        <f t="shared" si="5"/>
        <v>216.01402688486266</v>
      </c>
      <c r="K12" s="10">
        <f t="shared" si="6"/>
        <v>42.957334891876101</v>
      </c>
      <c r="L12" s="10">
        <f t="shared" si="7"/>
        <v>42.957334891876101</v>
      </c>
      <c r="M12" s="10"/>
      <c r="N12" s="10"/>
      <c r="O12" s="10"/>
      <c r="P12" s="14">
        <f t="shared" si="8"/>
        <v>1658.3985973115141</v>
      </c>
    </row>
    <row r="13" spans="1:16" x14ac:dyDescent="0.35">
      <c r="A13" s="18">
        <v>10</v>
      </c>
      <c r="B13" s="18" t="s">
        <v>13</v>
      </c>
      <c r="C13" s="10">
        <v>850</v>
      </c>
      <c r="D13" s="10"/>
      <c r="E13" s="10">
        <f t="shared" si="0"/>
        <v>127.5</v>
      </c>
      <c r="F13" s="10">
        <f t="shared" si="1"/>
        <v>11.281998831092929</v>
      </c>
      <c r="G13" s="10">
        <f t="shared" si="2"/>
        <v>8.6440677966101696</v>
      </c>
      <c r="H13" s="10">
        <f t="shared" si="3"/>
        <v>8.6440677966101696</v>
      </c>
      <c r="I13" s="10">
        <f t="shared" si="4"/>
        <v>8.6440677966101696</v>
      </c>
      <c r="J13" s="10">
        <f t="shared" si="5"/>
        <v>26.230274693161896</v>
      </c>
      <c r="K13" s="10">
        <f t="shared" si="6"/>
        <v>5.216247808299241</v>
      </c>
      <c r="L13" s="10">
        <f t="shared" si="7"/>
        <v>5.216247808299241</v>
      </c>
      <c r="M13" s="10"/>
      <c r="N13" s="10"/>
      <c r="O13" s="10"/>
      <c r="P13" s="14">
        <f t="shared" si="8"/>
        <v>201.37697253068379</v>
      </c>
    </row>
    <row r="14" spans="1:16" x14ac:dyDescent="0.35">
      <c r="A14" s="18">
        <v>11</v>
      </c>
      <c r="B14" s="18" t="s">
        <v>10</v>
      </c>
      <c r="C14" s="10">
        <v>9850</v>
      </c>
      <c r="D14" s="10"/>
      <c r="E14" s="10">
        <f t="shared" si="0"/>
        <v>1477.5</v>
      </c>
      <c r="F14" s="10">
        <f t="shared" si="1"/>
        <v>130.73845704266512</v>
      </c>
      <c r="G14" s="10">
        <f t="shared" si="2"/>
        <v>100.16949152542374</v>
      </c>
      <c r="H14" s="10">
        <f t="shared" si="3"/>
        <v>100.16949152542374</v>
      </c>
      <c r="I14" s="10">
        <f t="shared" si="4"/>
        <v>100.16949152542374</v>
      </c>
      <c r="J14" s="10">
        <f t="shared" si="5"/>
        <v>303.96259497369959</v>
      </c>
      <c r="K14" s="10">
        <f t="shared" si="6"/>
        <v>60.447106954997082</v>
      </c>
      <c r="L14" s="10">
        <f t="shared" si="7"/>
        <v>60.447106954997082</v>
      </c>
      <c r="M14" s="10"/>
      <c r="N14" s="10"/>
      <c r="O14" s="10"/>
      <c r="P14" s="14">
        <f t="shared" si="8"/>
        <v>2333.6037405026309</v>
      </c>
    </row>
    <row r="15" spans="1:16" x14ac:dyDescent="0.35">
      <c r="A15" s="18">
        <v>12</v>
      </c>
      <c r="B15" s="18" t="s">
        <v>14</v>
      </c>
      <c r="C15" s="10">
        <v>1000</v>
      </c>
      <c r="D15" s="10"/>
      <c r="E15" s="10">
        <f t="shared" si="0"/>
        <v>150</v>
      </c>
      <c r="F15" s="10">
        <f t="shared" si="1"/>
        <v>13.272939801285798</v>
      </c>
      <c r="G15" s="10">
        <f t="shared" si="2"/>
        <v>10.169491525423728</v>
      </c>
      <c r="H15" s="10">
        <f t="shared" si="3"/>
        <v>10.169491525423728</v>
      </c>
      <c r="I15" s="10">
        <f t="shared" si="4"/>
        <v>10.169491525423728</v>
      </c>
      <c r="J15" s="10">
        <f t="shared" si="5"/>
        <v>30.85914669783752</v>
      </c>
      <c r="K15" s="10">
        <f t="shared" si="6"/>
        <v>6.1367621274108703</v>
      </c>
      <c r="L15" s="10">
        <f t="shared" si="7"/>
        <v>6.1367621274108703</v>
      </c>
      <c r="M15" s="10"/>
      <c r="N15" s="10"/>
      <c r="O15" s="10"/>
      <c r="P15" s="14">
        <f t="shared" si="8"/>
        <v>236.91408533021621</v>
      </c>
    </row>
    <row r="16" spans="1:16" x14ac:dyDescent="0.35">
      <c r="A16" s="18">
        <v>13</v>
      </c>
      <c r="B16" s="18" t="s">
        <v>11</v>
      </c>
      <c r="C16" s="10">
        <v>700</v>
      </c>
      <c r="D16" s="10"/>
      <c r="E16" s="10">
        <f t="shared" si="0"/>
        <v>105</v>
      </c>
      <c r="F16" s="10">
        <f t="shared" si="1"/>
        <v>9.2910578609000591</v>
      </c>
      <c r="G16" s="10">
        <f t="shared" si="2"/>
        <v>7.1186440677966107</v>
      </c>
      <c r="H16" s="10">
        <f t="shared" si="3"/>
        <v>7.1186440677966107</v>
      </c>
      <c r="I16" s="10">
        <f t="shared" si="4"/>
        <v>7.1186440677966107</v>
      </c>
      <c r="J16" s="10">
        <f t="shared" si="5"/>
        <v>21.601402688486267</v>
      </c>
      <c r="K16" s="10">
        <f>C16/$C$18*$K$32</f>
        <v>4.2957334891876098</v>
      </c>
      <c r="L16" s="10">
        <f t="shared" si="7"/>
        <v>4.2957334891876098</v>
      </c>
      <c r="M16" s="10"/>
      <c r="N16" s="10"/>
      <c r="O16" s="10"/>
      <c r="P16" s="14">
        <f>SUM(D16:O16)</f>
        <v>165.83985973115136</v>
      </c>
    </row>
    <row r="17" spans="1:16" x14ac:dyDescent="0.3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</row>
    <row r="18" spans="1:16" x14ac:dyDescent="0.35">
      <c r="C18" s="3">
        <f>SUM(C4:C17)</f>
        <v>85550</v>
      </c>
      <c r="D18" s="3">
        <f>SUM(D4:D17)</f>
        <v>0</v>
      </c>
      <c r="E18" s="3">
        <f t="shared" ref="E18:N18" si="9">SUM(E4:E17)</f>
        <v>12832.5</v>
      </c>
      <c r="F18" s="3">
        <f t="shared" si="9"/>
        <v>1135.4999999999998</v>
      </c>
      <c r="G18" s="3">
        <f t="shared" si="9"/>
        <v>870</v>
      </c>
      <c r="H18" s="3">
        <f t="shared" si="9"/>
        <v>870</v>
      </c>
      <c r="I18" s="3">
        <f t="shared" si="9"/>
        <v>870</v>
      </c>
      <c r="J18" s="3">
        <f t="shared" si="9"/>
        <v>2639.9999999999995</v>
      </c>
      <c r="K18" s="3">
        <f>SUM(K4:K17)</f>
        <v>524.99999999999989</v>
      </c>
      <c r="L18" s="3">
        <f t="shared" si="9"/>
        <v>524.99999999999989</v>
      </c>
      <c r="M18" s="3">
        <f t="shared" si="9"/>
        <v>0</v>
      </c>
      <c r="N18" s="3">
        <f t="shared" si="9"/>
        <v>0</v>
      </c>
      <c r="O18" s="1"/>
      <c r="P18" s="3">
        <f>SUM(P4:P17)</f>
        <v>20267.999999999996</v>
      </c>
    </row>
    <row r="19" spans="1:16" x14ac:dyDescent="0.3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t="s">
        <v>55</v>
      </c>
      <c r="D21" s="1"/>
      <c r="E21" s="1"/>
      <c r="F21" s="3">
        <f>Declarations!E56</f>
        <v>7570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5">
      <c r="D22" s="1"/>
      <c r="E22" s="1"/>
      <c r="F22" s="1">
        <f>F21*0.15</f>
        <v>1135.5</v>
      </c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5">
      <c r="A23" t="s">
        <v>76</v>
      </c>
      <c r="G23" s="6">
        <f>Declarations!E75</f>
        <v>5800</v>
      </c>
    </row>
    <row r="24" spans="1:16" x14ac:dyDescent="0.35">
      <c r="G24" s="4">
        <f>G23*0.15</f>
        <v>870</v>
      </c>
    </row>
    <row r="25" spans="1:16" x14ac:dyDescent="0.35">
      <c r="A25" t="s">
        <v>86</v>
      </c>
      <c r="H25" s="6">
        <f>Declarations!E94</f>
        <v>5800</v>
      </c>
    </row>
    <row r="26" spans="1:16" x14ac:dyDescent="0.35">
      <c r="H26" s="4">
        <f>H25*0.15</f>
        <v>870</v>
      </c>
    </row>
    <row r="27" spans="1:16" x14ac:dyDescent="0.35">
      <c r="A27" t="s">
        <v>93</v>
      </c>
      <c r="I27" s="6">
        <f>Declarations!E112</f>
        <v>5800</v>
      </c>
    </row>
    <row r="28" spans="1:16" x14ac:dyDescent="0.35">
      <c r="I28" s="4">
        <f>I27*0.15</f>
        <v>870</v>
      </c>
    </row>
    <row r="29" spans="1:16" x14ac:dyDescent="0.35">
      <c r="A29" t="s">
        <v>97</v>
      </c>
      <c r="J29" s="4">
        <f>Declarations!E132</f>
        <v>17600</v>
      </c>
    </row>
    <row r="30" spans="1:16" x14ac:dyDescent="0.35">
      <c r="J30" s="4">
        <f>J29*0.15</f>
        <v>2640</v>
      </c>
    </row>
    <row r="31" spans="1:16" x14ac:dyDescent="0.35">
      <c r="A31" t="s">
        <v>104</v>
      </c>
      <c r="K31" s="4">
        <f>Declarations!D153</f>
        <v>3500</v>
      </c>
    </row>
    <row r="32" spans="1:16" x14ac:dyDescent="0.35">
      <c r="K32" s="4">
        <f>K31*0.15</f>
        <v>525</v>
      </c>
    </row>
    <row r="33" spans="1:12" x14ac:dyDescent="0.35">
      <c r="A33" t="s">
        <v>116</v>
      </c>
      <c r="L33" s="4">
        <f>Declarations!D173</f>
        <v>3500</v>
      </c>
    </row>
    <row r="34" spans="1:12" x14ac:dyDescent="0.35">
      <c r="L34" s="4">
        <f>L33*0.15</f>
        <v>525</v>
      </c>
    </row>
  </sheetData>
  <pageMargins left="0.7" right="0.7" top="0.75" bottom="0.75" header="0.3" footer="0.3"/>
  <pageSetup paperSize="9" scale="5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58FD1-1C5A-4605-A2D8-B218CC889963}">
  <dimension ref="A1:P32"/>
  <sheetViews>
    <sheetView view="pageBreakPreview" zoomScale="124" zoomScaleNormal="100" zoomScaleSheetLayoutView="124" workbookViewId="0">
      <selection activeCell="L32" sqref="L32"/>
    </sheetView>
  </sheetViews>
  <sheetFormatPr defaultRowHeight="14.5" x14ac:dyDescent="0.35"/>
  <cols>
    <col min="2" max="2" width="17.7265625" bestFit="1" customWidth="1"/>
    <col min="3" max="5" width="10.1796875" bestFit="1" customWidth="1"/>
    <col min="6" max="6" width="9.1796875" bestFit="1" customWidth="1"/>
    <col min="7" max="7" width="9.36328125" bestFit="1" customWidth="1"/>
    <col min="8" max="8" width="9.1796875" bestFit="1" customWidth="1"/>
    <col min="9" max="9" width="10.1796875" bestFit="1" customWidth="1"/>
    <col min="10" max="10" width="9.1796875" bestFit="1" customWidth="1"/>
    <col min="11" max="11" width="9.36328125" bestFit="1" customWidth="1"/>
    <col min="12" max="12" width="9.1796875" bestFit="1" customWidth="1"/>
    <col min="16" max="16" width="11.7265625" bestFit="1" customWidth="1"/>
  </cols>
  <sheetData>
    <row r="1" spans="1:16" x14ac:dyDescent="0.35">
      <c r="A1" s="24" t="s">
        <v>34</v>
      </c>
      <c r="B1" s="24"/>
      <c r="C1" s="23" t="s">
        <v>35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5">
      <c r="A2" s="18"/>
      <c r="B2" s="18"/>
      <c r="C2" s="20"/>
      <c r="D2" s="20">
        <v>45658</v>
      </c>
      <c r="E2" s="20">
        <v>45689</v>
      </c>
      <c r="F2" s="20">
        <v>45717</v>
      </c>
      <c r="G2" s="20">
        <v>45748</v>
      </c>
      <c r="H2" s="20">
        <v>45778</v>
      </c>
      <c r="I2" s="20">
        <v>45809</v>
      </c>
      <c r="J2" s="20">
        <v>45839</v>
      </c>
      <c r="K2" s="20">
        <v>45870</v>
      </c>
      <c r="L2" s="20">
        <v>45901</v>
      </c>
      <c r="M2" s="20">
        <v>45931</v>
      </c>
      <c r="N2" s="20">
        <v>45962</v>
      </c>
      <c r="O2" s="20">
        <v>45992</v>
      </c>
      <c r="P2" s="18" t="s">
        <v>18</v>
      </c>
    </row>
    <row r="3" spans="1:16" x14ac:dyDescent="0.35">
      <c r="A3" s="18" t="s">
        <v>1</v>
      </c>
      <c r="B3" s="18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35">
      <c r="A4" s="18">
        <v>1</v>
      </c>
      <c r="B4" s="18" t="s">
        <v>2</v>
      </c>
      <c r="C4" s="10">
        <v>500</v>
      </c>
      <c r="D4" s="10"/>
      <c r="E4" s="10"/>
      <c r="F4" s="10">
        <f t="shared" ref="F4:F16" si="0">C4*0.15</f>
        <v>75</v>
      </c>
      <c r="G4" s="10">
        <f>C4/$C$18*$G$22</f>
        <v>6.0160427807486627</v>
      </c>
      <c r="H4" s="10">
        <f>C4/$C$18*$H$24</f>
        <v>4.572192513368984</v>
      </c>
      <c r="I4" s="10">
        <f>C4/$C$18*$I$26</f>
        <v>16.647192513368985</v>
      </c>
      <c r="J4" s="10">
        <f>C4/$C$18*$J$28</f>
        <v>12.032085561497325</v>
      </c>
      <c r="K4" s="10">
        <f>C4/$C$18*$K$30</f>
        <v>12.593582887700535</v>
      </c>
      <c r="L4" s="10">
        <f>C4/$C$18*$L$32</f>
        <v>8.0213903743315509</v>
      </c>
      <c r="M4" s="10"/>
      <c r="N4" s="10"/>
      <c r="O4" s="10"/>
      <c r="P4" s="14">
        <f>SUM(D4:O4)</f>
        <v>134.88248663101606</v>
      </c>
    </row>
    <row r="5" spans="1:16" x14ac:dyDescent="0.35">
      <c r="A5" s="18">
        <v>2</v>
      </c>
      <c r="B5" s="18" t="s">
        <v>3</v>
      </c>
      <c r="C5" s="10">
        <v>2000</v>
      </c>
      <c r="D5" s="10"/>
      <c r="E5" s="10"/>
      <c r="F5" s="10">
        <f t="shared" si="0"/>
        <v>300</v>
      </c>
      <c r="G5" s="10">
        <f t="shared" ref="G5:G16" si="1">C5/$C$18*$G$22</f>
        <v>24.064171122994651</v>
      </c>
      <c r="H5" s="10">
        <f t="shared" ref="H5:H16" si="2">C5/$C$18*$H$24</f>
        <v>18.288770053475936</v>
      </c>
      <c r="I5" s="10">
        <f t="shared" ref="I5:I16" si="3">C5/$C$18*$I$26</f>
        <v>66.58877005347594</v>
      </c>
      <c r="J5" s="10">
        <f t="shared" ref="J5:J16" si="4">C5/$C$18*$J$28</f>
        <v>48.128342245989302</v>
      </c>
      <c r="K5" s="10">
        <f t="shared" ref="K5:K16" si="5">C5/$C$18*$K$30</f>
        <v>50.37433155080214</v>
      </c>
      <c r="L5" s="10">
        <f t="shared" ref="L5:L16" si="6">C5/$C$18*$L$32</f>
        <v>32.085561497326204</v>
      </c>
      <c r="M5" s="10"/>
      <c r="N5" s="10"/>
      <c r="O5" s="10"/>
      <c r="P5" s="14">
        <f t="shared" ref="P5:P15" si="7">SUM(D5:O5)</f>
        <v>539.52994652406426</v>
      </c>
    </row>
    <row r="6" spans="1:16" x14ac:dyDescent="0.35">
      <c r="A6" s="18">
        <v>3</v>
      </c>
      <c r="B6" s="18" t="s">
        <v>9</v>
      </c>
      <c r="C6" s="10">
        <v>500</v>
      </c>
      <c r="D6" s="10"/>
      <c r="E6" s="10"/>
      <c r="F6" s="10">
        <f t="shared" si="0"/>
        <v>75</v>
      </c>
      <c r="G6" s="10">
        <f t="shared" si="1"/>
        <v>6.0160427807486627</v>
      </c>
      <c r="H6" s="10">
        <f t="shared" si="2"/>
        <v>4.572192513368984</v>
      </c>
      <c r="I6" s="10">
        <f t="shared" si="3"/>
        <v>16.647192513368985</v>
      </c>
      <c r="J6" s="10">
        <f t="shared" si="4"/>
        <v>12.032085561497325</v>
      </c>
      <c r="K6" s="10">
        <f t="shared" si="5"/>
        <v>12.593582887700535</v>
      </c>
      <c r="L6" s="10">
        <f t="shared" si="6"/>
        <v>8.0213903743315509</v>
      </c>
      <c r="M6" s="10"/>
      <c r="N6" s="10"/>
      <c r="O6" s="10"/>
      <c r="P6" s="14">
        <f t="shared" si="7"/>
        <v>134.88248663101606</v>
      </c>
    </row>
    <row r="7" spans="1:16" x14ac:dyDescent="0.35">
      <c r="A7" s="18">
        <v>4</v>
      </c>
      <c r="B7" s="18" t="s">
        <v>4</v>
      </c>
      <c r="C7" s="10">
        <v>500</v>
      </c>
      <c r="D7" s="10"/>
      <c r="E7" s="10"/>
      <c r="F7" s="10">
        <f t="shared" si="0"/>
        <v>75</v>
      </c>
      <c r="G7" s="10">
        <f t="shared" si="1"/>
        <v>6.0160427807486627</v>
      </c>
      <c r="H7" s="10">
        <f t="shared" si="2"/>
        <v>4.572192513368984</v>
      </c>
      <c r="I7" s="10">
        <f t="shared" si="3"/>
        <v>16.647192513368985</v>
      </c>
      <c r="J7" s="10">
        <f t="shared" si="4"/>
        <v>12.032085561497325</v>
      </c>
      <c r="K7" s="10">
        <f t="shared" si="5"/>
        <v>12.593582887700535</v>
      </c>
      <c r="L7" s="10">
        <f t="shared" si="6"/>
        <v>8.0213903743315509</v>
      </c>
      <c r="M7" s="10"/>
      <c r="N7" s="10"/>
      <c r="O7" s="10"/>
      <c r="P7" s="14">
        <f t="shared" si="7"/>
        <v>134.88248663101606</v>
      </c>
    </row>
    <row r="8" spans="1:16" x14ac:dyDescent="0.35">
      <c r="A8" s="18">
        <v>5</v>
      </c>
      <c r="B8" s="18" t="s">
        <v>5</v>
      </c>
      <c r="C8" s="10">
        <v>500</v>
      </c>
      <c r="D8" s="10"/>
      <c r="E8" s="10"/>
      <c r="F8" s="10">
        <f t="shared" si="0"/>
        <v>75</v>
      </c>
      <c r="G8" s="10">
        <f t="shared" si="1"/>
        <v>6.0160427807486627</v>
      </c>
      <c r="H8" s="10">
        <f t="shared" si="2"/>
        <v>4.572192513368984</v>
      </c>
      <c r="I8" s="10">
        <f t="shared" si="3"/>
        <v>16.647192513368985</v>
      </c>
      <c r="J8" s="10">
        <f t="shared" si="4"/>
        <v>12.032085561497325</v>
      </c>
      <c r="K8" s="10">
        <f t="shared" si="5"/>
        <v>12.593582887700535</v>
      </c>
      <c r="L8" s="10">
        <f t="shared" si="6"/>
        <v>8.0213903743315509</v>
      </c>
      <c r="M8" s="10"/>
      <c r="N8" s="10"/>
      <c r="O8" s="10"/>
      <c r="P8" s="14">
        <f t="shared" si="7"/>
        <v>134.88248663101606</v>
      </c>
    </row>
    <row r="9" spans="1:16" x14ac:dyDescent="0.35">
      <c r="A9" s="18">
        <v>6</v>
      </c>
      <c r="B9" s="18" t="s">
        <v>6</v>
      </c>
      <c r="C9" s="10">
        <v>2000</v>
      </c>
      <c r="D9" s="10"/>
      <c r="E9" s="10"/>
      <c r="F9" s="10">
        <f t="shared" si="0"/>
        <v>300</v>
      </c>
      <c r="G9" s="10">
        <f t="shared" si="1"/>
        <v>24.064171122994651</v>
      </c>
      <c r="H9" s="10">
        <f t="shared" si="2"/>
        <v>18.288770053475936</v>
      </c>
      <c r="I9" s="10">
        <f t="shared" si="3"/>
        <v>66.58877005347594</v>
      </c>
      <c r="J9" s="10">
        <f t="shared" si="4"/>
        <v>48.128342245989302</v>
      </c>
      <c r="K9" s="10">
        <f t="shared" si="5"/>
        <v>50.37433155080214</v>
      </c>
      <c r="L9" s="10">
        <f t="shared" si="6"/>
        <v>32.085561497326204</v>
      </c>
      <c r="M9" s="10"/>
      <c r="N9" s="10"/>
      <c r="O9" s="10"/>
      <c r="P9" s="14">
        <f t="shared" si="7"/>
        <v>539.52994652406426</v>
      </c>
    </row>
    <row r="10" spans="1:16" x14ac:dyDescent="0.35">
      <c r="A10" s="18">
        <v>7</v>
      </c>
      <c r="B10" s="18" t="s">
        <v>7</v>
      </c>
      <c r="C10" s="10">
        <v>750</v>
      </c>
      <c r="D10" s="10"/>
      <c r="E10" s="10"/>
      <c r="F10" s="10">
        <f t="shared" si="0"/>
        <v>112.5</v>
      </c>
      <c r="G10" s="10">
        <f t="shared" si="1"/>
        <v>9.0240641711229959</v>
      </c>
      <c r="H10" s="10">
        <f t="shared" si="2"/>
        <v>6.8582887700534769</v>
      </c>
      <c r="I10" s="10">
        <f t="shared" si="3"/>
        <v>24.970788770053478</v>
      </c>
      <c r="J10" s="10">
        <f t="shared" si="4"/>
        <v>18.048128342245992</v>
      </c>
      <c r="K10" s="10">
        <f t="shared" si="5"/>
        <v>18.890374331550802</v>
      </c>
      <c r="L10" s="10">
        <f t="shared" si="6"/>
        <v>12.032085561497327</v>
      </c>
      <c r="M10" s="10"/>
      <c r="N10" s="10"/>
      <c r="O10" s="10"/>
      <c r="P10" s="14">
        <f t="shared" si="7"/>
        <v>202.32372994652408</v>
      </c>
    </row>
    <row r="11" spans="1:16" x14ac:dyDescent="0.35">
      <c r="A11" s="18">
        <v>8</v>
      </c>
      <c r="B11" s="18" t="s">
        <v>12</v>
      </c>
      <c r="C11" s="10">
        <v>500</v>
      </c>
      <c r="D11" s="10"/>
      <c r="E11" s="10"/>
      <c r="F11" s="10">
        <f t="shared" si="0"/>
        <v>75</v>
      </c>
      <c r="G11" s="10">
        <f t="shared" si="1"/>
        <v>6.0160427807486627</v>
      </c>
      <c r="H11" s="10">
        <f t="shared" si="2"/>
        <v>4.572192513368984</v>
      </c>
      <c r="I11" s="10">
        <f t="shared" si="3"/>
        <v>16.647192513368985</v>
      </c>
      <c r="J11" s="10">
        <f t="shared" si="4"/>
        <v>12.032085561497325</v>
      </c>
      <c r="K11" s="10">
        <f t="shared" si="5"/>
        <v>12.593582887700535</v>
      </c>
      <c r="L11" s="10">
        <f t="shared" si="6"/>
        <v>8.0213903743315509</v>
      </c>
      <c r="M11" s="10"/>
      <c r="N11" s="10"/>
      <c r="O11" s="10"/>
      <c r="P11" s="14">
        <f t="shared" si="7"/>
        <v>134.88248663101606</v>
      </c>
    </row>
    <row r="12" spans="1:16" x14ac:dyDescent="0.35">
      <c r="A12" s="18">
        <v>9</v>
      </c>
      <c r="B12" s="18" t="s">
        <v>8</v>
      </c>
      <c r="C12" s="10">
        <v>10000</v>
      </c>
      <c r="D12" s="10"/>
      <c r="E12" s="10"/>
      <c r="F12" s="10">
        <f t="shared" si="0"/>
        <v>1500</v>
      </c>
      <c r="G12" s="10">
        <f t="shared" si="1"/>
        <v>120.32085561497325</v>
      </c>
      <c r="H12" s="10">
        <f t="shared" si="2"/>
        <v>91.443850267379673</v>
      </c>
      <c r="I12" s="10">
        <f t="shared" si="3"/>
        <v>332.94385026737967</v>
      </c>
      <c r="J12" s="10">
        <f t="shared" si="4"/>
        <v>240.64171122994651</v>
      </c>
      <c r="K12" s="10">
        <f t="shared" si="5"/>
        <v>251.8716577540107</v>
      </c>
      <c r="L12" s="10">
        <f t="shared" si="6"/>
        <v>160.42780748663102</v>
      </c>
      <c r="M12" s="10"/>
      <c r="N12" s="10"/>
      <c r="O12" s="10"/>
      <c r="P12" s="14">
        <f t="shared" si="7"/>
        <v>2697.6497326203212</v>
      </c>
    </row>
    <row r="13" spans="1:16" x14ac:dyDescent="0.35">
      <c r="A13" s="18">
        <v>10</v>
      </c>
      <c r="B13" s="18" t="s">
        <v>13</v>
      </c>
      <c r="C13" s="10">
        <v>20000</v>
      </c>
      <c r="D13" s="10"/>
      <c r="E13" s="10"/>
      <c r="F13" s="10">
        <f t="shared" si="0"/>
        <v>3000</v>
      </c>
      <c r="G13" s="10">
        <f t="shared" si="1"/>
        <v>240.64171122994651</v>
      </c>
      <c r="H13" s="10">
        <f t="shared" si="2"/>
        <v>182.88770053475935</v>
      </c>
      <c r="I13" s="10">
        <f t="shared" si="3"/>
        <v>665.88770053475935</v>
      </c>
      <c r="J13" s="10">
        <f t="shared" si="4"/>
        <v>481.28342245989302</v>
      </c>
      <c r="K13" s="10">
        <f t="shared" si="5"/>
        <v>503.7433155080214</v>
      </c>
      <c r="L13" s="10">
        <f t="shared" si="6"/>
        <v>320.85561497326205</v>
      </c>
      <c r="M13" s="10"/>
      <c r="N13" s="10"/>
      <c r="O13" s="10"/>
      <c r="P13" s="14">
        <f t="shared" si="7"/>
        <v>5395.2994652406423</v>
      </c>
    </row>
    <row r="14" spans="1:16" x14ac:dyDescent="0.35">
      <c r="A14" s="18">
        <v>11</v>
      </c>
      <c r="B14" s="18" t="s">
        <v>10</v>
      </c>
      <c r="C14" s="10">
        <v>7900</v>
      </c>
      <c r="D14" s="10"/>
      <c r="E14" s="10"/>
      <c r="F14" s="10">
        <f t="shared" si="0"/>
        <v>1185</v>
      </c>
      <c r="G14" s="10">
        <f t="shared" si="1"/>
        <v>95.053475935828871</v>
      </c>
      <c r="H14" s="10">
        <f t="shared" si="2"/>
        <v>72.240641711229941</v>
      </c>
      <c r="I14" s="10">
        <f t="shared" si="3"/>
        <v>263.02564171122992</v>
      </c>
      <c r="J14" s="10">
        <f t="shared" si="4"/>
        <v>190.10695187165774</v>
      </c>
      <c r="K14" s="10">
        <f t="shared" si="5"/>
        <v>198.97860962566844</v>
      </c>
      <c r="L14" s="10">
        <f t="shared" si="6"/>
        <v>126.7379679144385</v>
      </c>
      <c r="M14" s="10"/>
      <c r="N14" s="10"/>
      <c r="O14" s="10"/>
      <c r="P14" s="14">
        <f t="shared" si="7"/>
        <v>2131.143288770053</v>
      </c>
    </row>
    <row r="15" spans="1:16" x14ac:dyDescent="0.35">
      <c r="A15" s="18">
        <v>12</v>
      </c>
      <c r="B15" s="18" t="s">
        <v>14</v>
      </c>
      <c r="C15" s="10">
        <v>1000</v>
      </c>
      <c r="D15" s="10"/>
      <c r="E15" s="10"/>
      <c r="F15" s="10">
        <f t="shared" si="0"/>
        <v>150</v>
      </c>
      <c r="G15" s="10">
        <f t="shared" si="1"/>
        <v>12.032085561497325</v>
      </c>
      <c r="H15" s="10">
        <f t="shared" si="2"/>
        <v>9.144385026737968</v>
      </c>
      <c r="I15" s="10">
        <f t="shared" si="3"/>
        <v>33.29438502673797</v>
      </c>
      <c r="J15" s="10">
        <f t="shared" si="4"/>
        <v>24.064171122994651</v>
      </c>
      <c r="K15" s="10">
        <f t="shared" si="5"/>
        <v>25.18716577540107</v>
      </c>
      <c r="L15" s="10">
        <f t="shared" si="6"/>
        <v>16.042780748663102</v>
      </c>
      <c r="M15" s="10"/>
      <c r="N15" s="10"/>
      <c r="O15" s="10"/>
      <c r="P15" s="14">
        <f t="shared" si="7"/>
        <v>269.76497326203213</v>
      </c>
    </row>
    <row r="16" spans="1:16" x14ac:dyDescent="0.35">
      <c r="A16" s="18">
        <v>13</v>
      </c>
      <c r="B16" s="18" t="s">
        <v>11</v>
      </c>
      <c r="C16" s="10">
        <v>600</v>
      </c>
      <c r="D16" s="10"/>
      <c r="E16" s="10"/>
      <c r="F16" s="10">
        <f t="shared" si="0"/>
        <v>90</v>
      </c>
      <c r="G16" s="10">
        <f t="shared" si="1"/>
        <v>7.2192513368983962</v>
      </c>
      <c r="H16" s="10">
        <f t="shared" si="2"/>
        <v>5.4866310160427805</v>
      </c>
      <c r="I16" s="10">
        <f t="shared" si="3"/>
        <v>19.976631016042781</v>
      </c>
      <c r="J16" s="10">
        <f t="shared" si="4"/>
        <v>14.438502673796792</v>
      </c>
      <c r="K16" s="10">
        <f t="shared" si="5"/>
        <v>15.112299465240643</v>
      </c>
      <c r="L16" s="10">
        <f t="shared" si="6"/>
        <v>9.6256684491978604</v>
      </c>
      <c r="M16" s="10"/>
      <c r="N16" s="10"/>
      <c r="O16" s="10"/>
      <c r="P16" s="14">
        <f>SUM(D16:O16)</f>
        <v>161.85898395721927</v>
      </c>
    </row>
    <row r="17" spans="1:16" x14ac:dyDescent="0.3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</row>
    <row r="18" spans="1:16" x14ac:dyDescent="0.35">
      <c r="C18" s="3">
        <f>SUM(C4:C17)</f>
        <v>46750</v>
      </c>
      <c r="D18" s="3">
        <f>SUM(D4:D17)</f>
        <v>0</v>
      </c>
      <c r="E18" s="3">
        <f t="shared" ref="E18:N18" si="8">SUM(E4:E17)</f>
        <v>0</v>
      </c>
      <c r="F18" s="3">
        <f>SUM(F4:F17)</f>
        <v>7012.5</v>
      </c>
      <c r="G18" s="3">
        <f t="shared" si="8"/>
        <v>562.5</v>
      </c>
      <c r="H18" s="3">
        <f t="shared" si="8"/>
        <v>427.5</v>
      </c>
      <c r="I18" s="3">
        <f t="shared" si="8"/>
        <v>1556.5125</v>
      </c>
      <c r="J18" s="3">
        <f t="shared" si="8"/>
        <v>1125</v>
      </c>
      <c r="K18" s="3">
        <f t="shared" si="8"/>
        <v>1177.5</v>
      </c>
      <c r="L18" s="3">
        <f t="shared" si="8"/>
        <v>750</v>
      </c>
      <c r="M18" s="3">
        <f t="shared" si="8"/>
        <v>0</v>
      </c>
      <c r="N18" s="3">
        <f t="shared" si="8"/>
        <v>0</v>
      </c>
      <c r="O18" s="1"/>
      <c r="P18" s="3">
        <f>SUM(P4:P17)</f>
        <v>12611.512500000003</v>
      </c>
    </row>
    <row r="19" spans="1:16" x14ac:dyDescent="0.3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x14ac:dyDescent="0.35"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x14ac:dyDescent="0.35">
      <c r="A21" t="s">
        <v>77</v>
      </c>
      <c r="D21" s="1"/>
      <c r="E21" s="1"/>
      <c r="F21" s="1"/>
      <c r="G21" s="1">
        <f>Declarations!F75</f>
        <v>3750</v>
      </c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35">
      <c r="D22" s="1"/>
      <c r="E22" s="1"/>
      <c r="F22" s="1"/>
      <c r="G22" s="1">
        <f>G21*0.15</f>
        <v>562.5</v>
      </c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35">
      <c r="A23" t="s">
        <v>87</v>
      </c>
      <c r="H23" s="4">
        <f>Declarations!F94</f>
        <v>2850</v>
      </c>
    </row>
    <row r="24" spans="1:16" x14ac:dyDescent="0.35">
      <c r="H24" s="4">
        <f>H23*0.15</f>
        <v>427.5</v>
      </c>
    </row>
    <row r="25" spans="1:16" x14ac:dyDescent="0.35">
      <c r="A25" t="s">
        <v>94</v>
      </c>
      <c r="I25" s="4">
        <f>Declarations!F112</f>
        <v>10376.75</v>
      </c>
    </row>
    <row r="26" spans="1:16" x14ac:dyDescent="0.35">
      <c r="I26" s="4">
        <f>I25*0.15</f>
        <v>1556.5125</v>
      </c>
    </row>
    <row r="27" spans="1:16" x14ac:dyDescent="0.35">
      <c r="A27" t="s">
        <v>97</v>
      </c>
      <c r="J27" s="4">
        <f>Declarations!F132</f>
        <v>7500</v>
      </c>
    </row>
    <row r="28" spans="1:16" x14ac:dyDescent="0.35">
      <c r="J28" s="4">
        <f>J27*0.15</f>
        <v>1125</v>
      </c>
    </row>
    <row r="29" spans="1:16" x14ac:dyDescent="0.35">
      <c r="A29" t="s">
        <v>104</v>
      </c>
      <c r="K29" s="4">
        <f>Declarations!E153</f>
        <v>7850</v>
      </c>
    </row>
    <row r="30" spans="1:16" x14ac:dyDescent="0.35">
      <c r="K30" s="4">
        <f>K29*0.15</f>
        <v>1177.5</v>
      </c>
    </row>
    <row r="31" spans="1:16" x14ac:dyDescent="0.35">
      <c r="A31" t="s">
        <v>118</v>
      </c>
      <c r="L31" s="4">
        <f>Declarations!E173</f>
        <v>5000</v>
      </c>
    </row>
    <row r="32" spans="1:16" x14ac:dyDescent="0.35">
      <c r="L32" s="4">
        <f>L31*0.15</f>
        <v>750</v>
      </c>
    </row>
  </sheetData>
  <pageMargins left="0.7" right="0.7" top="0.75" bottom="0.75" header="0.3" footer="0.3"/>
  <pageSetup paperSize="9" scale="5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C352-FDF8-4E30-9E03-0E37FEDA49BE}">
  <dimension ref="A1:P29"/>
  <sheetViews>
    <sheetView view="pageBreakPreview" zoomScale="124" zoomScaleNormal="100" zoomScaleSheetLayoutView="124" workbookViewId="0">
      <selection activeCell="L28" sqref="L28"/>
    </sheetView>
  </sheetViews>
  <sheetFormatPr defaultRowHeight="14.5" x14ac:dyDescent="0.35"/>
  <cols>
    <col min="2" max="2" width="17.7265625" bestFit="1" customWidth="1"/>
    <col min="3" max="5" width="10.1796875" bestFit="1" customWidth="1"/>
    <col min="6" max="6" width="9.1796875" bestFit="1" customWidth="1"/>
    <col min="7" max="7" width="9.36328125" bestFit="1" customWidth="1"/>
    <col min="8" max="10" width="9.1796875" bestFit="1" customWidth="1"/>
    <col min="11" max="11" width="9.36328125" bestFit="1" customWidth="1"/>
    <col min="12" max="12" width="9.1796875" bestFit="1" customWidth="1"/>
    <col min="15" max="15" width="0" hidden="1" customWidth="1"/>
    <col min="16" max="16" width="11.7265625" bestFit="1" customWidth="1"/>
  </cols>
  <sheetData>
    <row r="1" spans="1:16" x14ac:dyDescent="0.35">
      <c r="A1" s="24" t="s">
        <v>34</v>
      </c>
      <c r="B1" s="24"/>
      <c r="C1" s="23" t="s">
        <v>35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5">
      <c r="A2" s="20">
        <v>45748</v>
      </c>
      <c r="B2" s="18"/>
      <c r="C2" s="20"/>
      <c r="D2" s="20">
        <v>45658</v>
      </c>
      <c r="E2" s="20">
        <v>45689</v>
      </c>
      <c r="F2" s="20">
        <v>45717</v>
      </c>
      <c r="G2" s="20">
        <v>45748</v>
      </c>
      <c r="H2" s="20">
        <v>45778</v>
      </c>
      <c r="I2" s="20">
        <v>45809</v>
      </c>
      <c r="J2" s="20">
        <v>45839</v>
      </c>
      <c r="K2" s="20">
        <v>45870</v>
      </c>
      <c r="L2" s="20">
        <v>45901</v>
      </c>
      <c r="M2" s="20">
        <v>45931</v>
      </c>
      <c r="N2" s="20">
        <v>45962</v>
      </c>
      <c r="O2" s="20">
        <v>45992</v>
      </c>
      <c r="P2" s="18" t="s">
        <v>18</v>
      </c>
    </row>
    <row r="3" spans="1:16" x14ac:dyDescent="0.35">
      <c r="A3" s="18" t="s">
        <v>1</v>
      </c>
      <c r="B3" s="18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35">
      <c r="A4" s="18">
        <v>1</v>
      </c>
      <c r="B4" s="18" t="s">
        <v>2</v>
      </c>
      <c r="C4" s="10">
        <v>500</v>
      </c>
      <c r="D4" s="10"/>
      <c r="E4" s="10"/>
      <c r="F4" s="10"/>
      <c r="G4" s="10">
        <f t="shared" ref="G4:G16" si="0">C4*0.15</f>
        <v>75</v>
      </c>
      <c r="H4" s="10">
        <f>C4/$C$18*$H$21</f>
        <v>43.045774647887328</v>
      </c>
      <c r="I4" s="10">
        <f>C4/$C$18*$I$23</f>
        <v>49.911971830985919</v>
      </c>
      <c r="J4" s="10">
        <f>C4/$C$18*$J$25</f>
        <v>51.49647887323944</v>
      </c>
      <c r="K4" s="10">
        <f>C4/$C$18*$K$27</f>
        <v>24.401408450704228</v>
      </c>
      <c r="L4" s="10">
        <f>C4/$C$18*$L$29</f>
        <v>4.3838028169014089</v>
      </c>
      <c r="M4" s="10"/>
      <c r="N4" s="10"/>
      <c r="O4" s="10"/>
      <c r="P4" s="14">
        <f>SUM(D4:O4)</f>
        <v>248.23943661971833</v>
      </c>
    </row>
    <row r="5" spans="1:16" x14ac:dyDescent="0.35">
      <c r="A5" s="18">
        <v>2</v>
      </c>
      <c r="B5" s="18" t="s">
        <v>3</v>
      </c>
      <c r="C5" s="10">
        <v>2000</v>
      </c>
      <c r="D5" s="10"/>
      <c r="E5" s="10"/>
      <c r="F5" s="10"/>
      <c r="G5" s="10">
        <f t="shared" si="0"/>
        <v>300</v>
      </c>
      <c r="H5" s="10">
        <f t="shared" ref="H5:H16" si="1">C5/$C$18*$H$21</f>
        <v>172.18309859154931</v>
      </c>
      <c r="I5" s="10">
        <f t="shared" ref="I5:I16" si="2">C5/$C$18*$I$23</f>
        <v>199.64788732394368</v>
      </c>
      <c r="J5" s="10">
        <f t="shared" ref="J5:J16" si="3">C5/$C$18*$J$25</f>
        <v>205.98591549295776</v>
      </c>
      <c r="K5" s="10">
        <f t="shared" ref="K5:K16" si="4">C5/$C$18*$K$27</f>
        <v>97.605633802816911</v>
      </c>
      <c r="L5" s="10">
        <f t="shared" ref="L5:L16" si="5">C5/$C$18*$L$29</f>
        <v>17.535211267605636</v>
      </c>
      <c r="M5" s="10"/>
      <c r="N5" s="10"/>
      <c r="O5" s="10"/>
      <c r="P5" s="14">
        <f t="shared" ref="P5:P15" si="6">SUM(D5:O5)</f>
        <v>992.95774647887333</v>
      </c>
    </row>
    <row r="6" spans="1:16" x14ac:dyDescent="0.35">
      <c r="A6" s="18">
        <v>3</v>
      </c>
      <c r="B6" s="18" t="s">
        <v>9</v>
      </c>
      <c r="C6" s="10">
        <v>500</v>
      </c>
      <c r="D6" s="10"/>
      <c r="E6" s="10"/>
      <c r="F6" s="10"/>
      <c r="G6" s="10">
        <f t="shared" si="0"/>
        <v>75</v>
      </c>
      <c r="H6" s="10">
        <f t="shared" si="1"/>
        <v>43.045774647887328</v>
      </c>
      <c r="I6" s="10">
        <f t="shared" si="2"/>
        <v>49.911971830985919</v>
      </c>
      <c r="J6" s="10">
        <f t="shared" si="3"/>
        <v>51.49647887323944</v>
      </c>
      <c r="K6" s="10">
        <f t="shared" si="4"/>
        <v>24.401408450704228</v>
      </c>
      <c r="L6" s="10">
        <f t="shared" si="5"/>
        <v>4.3838028169014089</v>
      </c>
      <c r="M6" s="10"/>
      <c r="N6" s="10"/>
      <c r="O6" s="10"/>
      <c r="P6" s="14">
        <f t="shared" si="6"/>
        <v>248.23943661971833</v>
      </c>
    </row>
    <row r="7" spans="1:16" x14ac:dyDescent="0.35">
      <c r="A7" s="18">
        <v>4</v>
      </c>
      <c r="B7" s="18" t="s">
        <v>4</v>
      </c>
      <c r="C7" s="10">
        <v>500</v>
      </c>
      <c r="D7" s="10"/>
      <c r="E7" s="10"/>
      <c r="F7" s="10"/>
      <c r="G7" s="10">
        <f t="shared" si="0"/>
        <v>75</v>
      </c>
      <c r="H7" s="10">
        <f t="shared" si="1"/>
        <v>43.045774647887328</v>
      </c>
      <c r="I7" s="10">
        <f t="shared" si="2"/>
        <v>49.911971830985919</v>
      </c>
      <c r="J7" s="10">
        <f t="shared" si="3"/>
        <v>51.49647887323944</v>
      </c>
      <c r="K7" s="10">
        <f t="shared" si="4"/>
        <v>24.401408450704228</v>
      </c>
      <c r="L7" s="10">
        <f t="shared" si="5"/>
        <v>4.3838028169014089</v>
      </c>
      <c r="M7" s="10"/>
      <c r="N7" s="10"/>
      <c r="O7" s="10"/>
      <c r="P7" s="14">
        <f t="shared" si="6"/>
        <v>248.23943661971833</v>
      </c>
    </row>
    <row r="8" spans="1:16" x14ac:dyDescent="0.35">
      <c r="A8" s="18">
        <v>5</v>
      </c>
      <c r="B8" s="18" t="s">
        <v>5</v>
      </c>
      <c r="C8" s="10">
        <v>500</v>
      </c>
      <c r="D8" s="10"/>
      <c r="E8" s="10"/>
      <c r="F8" s="10"/>
      <c r="G8" s="10">
        <f t="shared" si="0"/>
        <v>75</v>
      </c>
      <c r="H8" s="10">
        <f t="shared" si="1"/>
        <v>43.045774647887328</v>
      </c>
      <c r="I8" s="10">
        <f t="shared" si="2"/>
        <v>49.911971830985919</v>
      </c>
      <c r="J8" s="10">
        <f t="shared" si="3"/>
        <v>51.49647887323944</v>
      </c>
      <c r="K8" s="10">
        <f t="shared" si="4"/>
        <v>24.401408450704228</v>
      </c>
      <c r="L8" s="10">
        <f t="shared" si="5"/>
        <v>4.3838028169014089</v>
      </c>
      <c r="M8" s="10"/>
      <c r="N8" s="10"/>
      <c r="O8" s="10"/>
      <c r="P8" s="14">
        <f t="shared" si="6"/>
        <v>248.23943661971833</v>
      </c>
    </row>
    <row r="9" spans="1:16" x14ac:dyDescent="0.35">
      <c r="A9" s="18">
        <v>6</v>
      </c>
      <c r="B9" s="18" t="s">
        <v>6</v>
      </c>
      <c r="C9" s="10">
        <v>1000</v>
      </c>
      <c r="D9" s="10"/>
      <c r="E9" s="10"/>
      <c r="F9" s="10"/>
      <c r="G9" s="10">
        <f t="shared" si="0"/>
        <v>150</v>
      </c>
      <c r="H9" s="10">
        <f t="shared" si="1"/>
        <v>86.091549295774655</v>
      </c>
      <c r="I9" s="10">
        <f t="shared" si="2"/>
        <v>99.823943661971839</v>
      </c>
      <c r="J9" s="10">
        <f t="shared" si="3"/>
        <v>102.99295774647888</v>
      </c>
      <c r="K9" s="10">
        <f t="shared" si="4"/>
        <v>48.802816901408455</v>
      </c>
      <c r="L9" s="10">
        <f t="shared" si="5"/>
        <v>8.7676056338028179</v>
      </c>
      <c r="M9" s="10"/>
      <c r="N9" s="10"/>
      <c r="O9" s="10"/>
      <c r="P9" s="14">
        <f t="shared" si="6"/>
        <v>496.47887323943667</v>
      </c>
    </row>
    <row r="10" spans="1:16" x14ac:dyDescent="0.35">
      <c r="A10" s="18">
        <v>7</v>
      </c>
      <c r="B10" s="18" t="s">
        <v>7</v>
      </c>
      <c r="C10" s="10">
        <v>550</v>
      </c>
      <c r="D10" s="10"/>
      <c r="E10" s="10"/>
      <c r="F10" s="10"/>
      <c r="G10" s="10">
        <f t="shared" si="0"/>
        <v>82.5</v>
      </c>
      <c r="H10" s="10">
        <f t="shared" si="1"/>
        <v>47.350352112676056</v>
      </c>
      <c r="I10" s="10">
        <f t="shared" si="2"/>
        <v>54.903169014084504</v>
      </c>
      <c r="J10" s="10">
        <f t="shared" si="3"/>
        <v>56.646126760563376</v>
      </c>
      <c r="K10" s="10">
        <f t="shared" si="4"/>
        <v>26.841549295774644</v>
      </c>
      <c r="L10" s="10">
        <f t="shared" si="5"/>
        <v>4.822183098591549</v>
      </c>
      <c r="M10" s="10"/>
      <c r="N10" s="10"/>
      <c r="O10" s="10"/>
      <c r="P10" s="14">
        <f t="shared" si="6"/>
        <v>273.06338028169017</v>
      </c>
    </row>
    <row r="11" spans="1:16" x14ac:dyDescent="0.35">
      <c r="A11" s="18">
        <v>8</v>
      </c>
      <c r="B11" s="18" t="s">
        <v>12</v>
      </c>
      <c r="C11" s="10">
        <v>550</v>
      </c>
      <c r="D11" s="10"/>
      <c r="E11" s="10"/>
      <c r="F11" s="10"/>
      <c r="G11" s="10">
        <f t="shared" si="0"/>
        <v>82.5</v>
      </c>
      <c r="H11" s="10">
        <f t="shared" si="1"/>
        <v>47.350352112676056</v>
      </c>
      <c r="I11" s="10">
        <f t="shared" si="2"/>
        <v>54.903169014084504</v>
      </c>
      <c r="J11" s="10">
        <f t="shared" si="3"/>
        <v>56.646126760563376</v>
      </c>
      <c r="K11" s="10">
        <f t="shared" si="4"/>
        <v>26.841549295774644</v>
      </c>
      <c r="L11" s="10">
        <f t="shared" si="5"/>
        <v>4.822183098591549</v>
      </c>
      <c r="M11" s="10"/>
      <c r="N11" s="10"/>
      <c r="O11" s="10"/>
      <c r="P11" s="14">
        <f t="shared" si="6"/>
        <v>273.06338028169017</v>
      </c>
    </row>
    <row r="12" spans="1:16" x14ac:dyDescent="0.35">
      <c r="A12" s="18">
        <v>9</v>
      </c>
      <c r="B12" s="18" t="s">
        <v>8</v>
      </c>
      <c r="C12" s="10">
        <v>1000</v>
      </c>
      <c r="D12" s="10"/>
      <c r="E12" s="10"/>
      <c r="F12" s="10"/>
      <c r="G12" s="10">
        <f t="shared" si="0"/>
        <v>150</v>
      </c>
      <c r="H12" s="10">
        <f t="shared" si="1"/>
        <v>86.091549295774655</v>
      </c>
      <c r="I12" s="10">
        <f t="shared" si="2"/>
        <v>99.823943661971839</v>
      </c>
      <c r="J12" s="10">
        <f t="shared" si="3"/>
        <v>102.99295774647888</v>
      </c>
      <c r="K12" s="10">
        <f t="shared" si="4"/>
        <v>48.802816901408455</v>
      </c>
      <c r="L12" s="10">
        <f t="shared" si="5"/>
        <v>8.7676056338028179</v>
      </c>
      <c r="M12" s="10"/>
      <c r="N12" s="10"/>
      <c r="O12" s="10"/>
      <c r="P12" s="14">
        <f t="shared" si="6"/>
        <v>496.47887323943667</v>
      </c>
    </row>
    <row r="13" spans="1:16" x14ac:dyDescent="0.35">
      <c r="A13" s="18">
        <v>10</v>
      </c>
      <c r="B13" s="18" t="s">
        <v>13</v>
      </c>
      <c r="C13" s="10">
        <v>500</v>
      </c>
      <c r="D13" s="10"/>
      <c r="E13" s="10"/>
      <c r="F13" s="10"/>
      <c r="G13" s="10">
        <f t="shared" si="0"/>
        <v>75</v>
      </c>
      <c r="H13" s="10">
        <f t="shared" si="1"/>
        <v>43.045774647887328</v>
      </c>
      <c r="I13" s="10">
        <f t="shared" si="2"/>
        <v>49.911971830985919</v>
      </c>
      <c r="J13" s="10">
        <f t="shared" si="3"/>
        <v>51.49647887323944</v>
      </c>
      <c r="K13" s="10">
        <f t="shared" si="4"/>
        <v>24.401408450704228</v>
      </c>
      <c r="L13" s="10">
        <f t="shared" si="5"/>
        <v>4.3838028169014089</v>
      </c>
      <c r="M13" s="10"/>
      <c r="N13" s="10"/>
      <c r="O13" s="10"/>
      <c r="P13" s="14">
        <f t="shared" si="6"/>
        <v>248.23943661971833</v>
      </c>
    </row>
    <row r="14" spans="1:16" x14ac:dyDescent="0.35">
      <c r="A14" s="18">
        <v>11</v>
      </c>
      <c r="B14" s="18" t="s">
        <v>10</v>
      </c>
      <c r="C14" s="10">
        <v>4800</v>
      </c>
      <c r="D14" s="10"/>
      <c r="E14" s="10"/>
      <c r="F14" s="10"/>
      <c r="G14" s="10">
        <f t="shared" si="0"/>
        <v>720</v>
      </c>
      <c r="H14" s="10">
        <f t="shared" si="1"/>
        <v>413.23943661971828</v>
      </c>
      <c r="I14" s="10">
        <f t="shared" si="2"/>
        <v>479.15492957746477</v>
      </c>
      <c r="J14" s="10">
        <f t="shared" si="3"/>
        <v>494.36619718309856</v>
      </c>
      <c r="K14" s="10">
        <f t="shared" si="4"/>
        <v>234.25352112676055</v>
      </c>
      <c r="L14" s="10">
        <f t="shared" si="5"/>
        <v>42.08450704225352</v>
      </c>
      <c r="M14" s="10"/>
      <c r="N14" s="10"/>
      <c r="O14" s="10"/>
      <c r="P14" s="14">
        <f t="shared" si="6"/>
        <v>2383.0985915492952</v>
      </c>
    </row>
    <row r="15" spans="1:16" x14ac:dyDescent="0.35">
      <c r="A15" s="18">
        <v>12</v>
      </c>
      <c r="B15" s="18" t="s">
        <v>14</v>
      </c>
      <c r="C15" s="10">
        <v>1000</v>
      </c>
      <c r="D15" s="10"/>
      <c r="E15" s="10"/>
      <c r="F15" s="10"/>
      <c r="G15" s="10">
        <f t="shared" si="0"/>
        <v>150</v>
      </c>
      <c r="H15" s="10">
        <f t="shared" si="1"/>
        <v>86.091549295774655</v>
      </c>
      <c r="I15" s="10">
        <f t="shared" si="2"/>
        <v>99.823943661971839</v>
      </c>
      <c r="J15" s="10">
        <f t="shared" si="3"/>
        <v>102.99295774647888</v>
      </c>
      <c r="K15" s="10">
        <f t="shared" si="4"/>
        <v>48.802816901408455</v>
      </c>
      <c r="L15" s="10">
        <f t="shared" si="5"/>
        <v>8.7676056338028179</v>
      </c>
      <c r="M15" s="10"/>
      <c r="N15" s="10"/>
      <c r="O15" s="10"/>
      <c r="P15" s="14">
        <f t="shared" si="6"/>
        <v>496.47887323943667</v>
      </c>
    </row>
    <row r="16" spans="1:16" x14ac:dyDescent="0.35">
      <c r="A16" s="18">
        <v>13</v>
      </c>
      <c r="B16" s="18" t="s">
        <v>11</v>
      </c>
      <c r="C16" s="10">
        <v>800</v>
      </c>
      <c r="D16" s="10"/>
      <c r="E16" s="10"/>
      <c r="F16" s="10"/>
      <c r="G16" s="10">
        <f t="shared" si="0"/>
        <v>120</v>
      </c>
      <c r="H16" s="10">
        <f t="shared" si="1"/>
        <v>68.873239436619727</v>
      </c>
      <c r="I16" s="10">
        <f t="shared" si="2"/>
        <v>79.859154929577471</v>
      </c>
      <c r="J16" s="10">
        <f t="shared" si="3"/>
        <v>82.394366197183103</v>
      </c>
      <c r="K16" s="10">
        <f t="shared" si="4"/>
        <v>39.04225352112676</v>
      </c>
      <c r="L16" s="10">
        <f t="shared" si="5"/>
        <v>7.0140845070422539</v>
      </c>
      <c r="M16" s="10"/>
      <c r="N16" s="10"/>
      <c r="O16" s="10"/>
      <c r="P16" s="14">
        <f>SUM(D16:O16)</f>
        <v>397.18309859154931</v>
      </c>
    </row>
    <row r="17" spans="2:16" x14ac:dyDescent="0.3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</row>
    <row r="18" spans="2:16" x14ac:dyDescent="0.35">
      <c r="C18" s="3">
        <f>SUM(C4:C17)</f>
        <v>14200</v>
      </c>
      <c r="D18" s="3">
        <f>SUM(D4:D17)</f>
        <v>0</v>
      </c>
      <c r="E18" s="3">
        <f t="shared" ref="E18:N18" si="7">SUM(E4:E17)</f>
        <v>0</v>
      </c>
      <c r="F18" s="3">
        <f>SUM(F4:F17)</f>
        <v>0</v>
      </c>
      <c r="G18" s="3">
        <f>SUM(G4:G17)</f>
        <v>2130</v>
      </c>
      <c r="H18" s="3">
        <f t="shared" si="7"/>
        <v>1222.5</v>
      </c>
      <c r="I18" s="3">
        <f t="shared" si="7"/>
        <v>1417.5</v>
      </c>
      <c r="J18" s="3">
        <f t="shared" si="7"/>
        <v>1462.5</v>
      </c>
      <c r="K18" s="3">
        <f t="shared" si="7"/>
        <v>693.00000000000011</v>
      </c>
      <c r="L18" s="3">
        <f t="shared" si="7"/>
        <v>124.50000000000001</v>
      </c>
      <c r="M18" s="3">
        <f t="shared" si="7"/>
        <v>0</v>
      </c>
      <c r="N18" s="3">
        <f t="shared" si="7"/>
        <v>0</v>
      </c>
      <c r="O18" s="1"/>
      <c r="P18" s="3">
        <f>SUM(P4:P17)</f>
        <v>7049.9999999999991</v>
      </c>
    </row>
    <row r="19" spans="2:16" x14ac:dyDescent="0.35"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2:16" x14ac:dyDescent="0.35">
      <c r="B20" t="s">
        <v>87</v>
      </c>
      <c r="C20" s="1"/>
      <c r="D20" s="1"/>
      <c r="E20" s="1"/>
      <c r="F20" s="1"/>
      <c r="G20" s="1"/>
      <c r="H20" s="1">
        <f>Declarations!G94</f>
        <v>8150</v>
      </c>
      <c r="I20" s="1"/>
      <c r="J20" s="1"/>
      <c r="K20" s="1"/>
      <c r="L20" s="1"/>
      <c r="M20" s="1"/>
      <c r="N20" s="1"/>
      <c r="O20" s="1"/>
      <c r="P20" s="1"/>
    </row>
    <row r="21" spans="2:16" x14ac:dyDescent="0.35">
      <c r="D21" s="1"/>
      <c r="E21" s="1"/>
      <c r="F21" s="1"/>
      <c r="G21" s="1"/>
      <c r="H21" s="1">
        <f>H20*0.15</f>
        <v>1222.5</v>
      </c>
      <c r="I21" s="1"/>
      <c r="J21" s="1"/>
      <c r="K21" s="1"/>
      <c r="L21" s="1"/>
      <c r="M21" s="1"/>
      <c r="N21" s="1"/>
      <c r="O21" s="1"/>
      <c r="P21" s="1"/>
    </row>
    <row r="22" spans="2:16" x14ac:dyDescent="0.35">
      <c r="B22" t="s">
        <v>93</v>
      </c>
      <c r="D22" s="1"/>
      <c r="E22" s="1"/>
      <c r="F22" s="1"/>
      <c r="G22" s="1"/>
      <c r="H22" s="1"/>
      <c r="I22" s="1">
        <f>Declarations!G112</f>
        <v>9450</v>
      </c>
      <c r="J22" s="1"/>
      <c r="K22" s="1"/>
      <c r="L22" s="1"/>
      <c r="M22" s="1"/>
      <c r="N22" s="1"/>
      <c r="O22" s="1"/>
      <c r="P22" s="1"/>
    </row>
    <row r="23" spans="2:16" x14ac:dyDescent="0.35">
      <c r="I23" s="4">
        <f>I22*0.15</f>
        <v>1417.5</v>
      </c>
    </row>
    <row r="24" spans="2:16" x14ac:dyDescent="0.35">
      <c r="B24" t="s">
        <v>97</v>
      </c>
      <c r="J24" s="4">
        <f>Declarations!G132</f>
        <v>9750</v>
      </c>
    </row>
    <row r="25" spans="2:16" x14ac:dyDescent="0.35">
      <c r="J25" s="4">
        <f>J24*0.15</f>
        <v>1462.5</v>
      </c>
    </row>
    <row r="26" spans="2:16" x14ac:dyDescent="0.35">
      <c r="B26" t="s">
        <v>104</v>
      </c>
      <c r="K26" s="4">
        <f>Declarations!F153</f>
        <v>4620</v>
      </c>
    </row>
    <row r="27" spans="2:16" x14ac:dyDescent="0.35">
      <c r="K27" s="4">
        <f>K26*0.15</f>
        <v>693</v>
      </c>
    </row>
    <row r="28" spans="2:16" x14ac:dyDescent="0.35">
      <c r="L28" s="4">
        <f>Declarations!F173</f>
        <v>830</v>
      </c>
    </row>
    <row r="29" spans="2:16" x14ac:dyDescent="0.35">
      <c r="L29" s="4">
        <f>L28*0.15</f>
        <v>124.5</v>
      </c>
    </row>
  </sheetData>
  <pageMargins left="0.7" right="0.7" top="0.75" bottom="0.75" header="0.3" footer="0.3"/>
  <pageSetup paperSize="9" scale="5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54CE-BC35-4636-BBA7-E06DB25C0E32}">
  <dimension ref="A1:P27"/>
  <sheetViews>
    <sheetView workbookViewId="0">
      <selection activeCell="M28" sqref="M28"/>
    </sheetView>
  </sheetViews>
  <sheetFormatPr defaultRowHeight="14.5" x14ac:dyDescent="0.35"/>
  <cols>
    <col min="2" max="2" width="17.7265625" bestFit="1" customWidth="1"/>
    <col min="3" max="3" width="10.1796875" bestFit="1" customWidth="1"/>
    <col min="7" max="9" width="9.1796875" bestFit="1" customWidth="1"/>
    <col min="10" max="10" width="10.1796875" bestFit="1" customWidth="1"/>
    <col min="11" max="12" width="9.1796875" bestFit="1" customWidth="1"/>
    <col min="16" max="16" width="11.7265625" bestFit="1" customWidth="1"/>
  </cols>
  <sheetData>
    <row r="1" spans="1:16" x14ac:dyDescent="0.35">
      <c r="A1" s="24" t="s">
        <v>34</v>
      </c>
      <c r="B1" s="24"/>
      <c r="C1" s="23" t="s">
        <v>35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5">
      <c r="A2" s="20">
        <v>45778</v>
      </c>
      <c r="B2" s="18"/>
      <c r="C2" s="20"/>
      <c r="D2" s="20">
        <v>45658</v>
      </c>
      <c r="E2" s="20">
        <v>45689</v>
      </c>
      <c r="F2" s="20">
        <v>45717</v>
      </c>
      <c r="G2" s="20">
        <v>45748</v>
      </c>
      <c r="H2" s="20">
        <v>45778</v>
      </c>
      <c r="I2" s="20">
        <v>45809</v>
      </c>
      <c r="J2" s="20">
        <v>45839</v>
      </c>
      <c r="K2" s="20">
        <v>45870</v>
      </c>
      <c r="L2" s="20">
        <v>45901</v>
      </c>
      <c r="M2" s="20">
        <v>45931</v>
      </c>
      <c r="N2" s="20">
        <v>45962</v>
      </c>
      <c r="O2" s="20">
        <v>45992</v>
      </c>
      <c r="P2" s="18" t="s">
        <v>18</v>
      </c>
    </row>
    <row r="3" spans="1:16" x14ac:dyDescent="0.35">
      <c r="A3" s="18" t="s">
        <v>1</v>
      </c>
      <c r="B3" s="18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35">
      <c r="A4" s="18">
        <v>1</v>
      </c>
      <c r="B4" s="18" t="s">
        <v>2</v>
      </c>
      <c r="C4" s="10">
        <v>850</v>
      </c>
      <c r="D4" s="10"/>
      <c r="E4" s="10"/>
      <c r="F4" s="10"/>
      <c r="G4" s="10"/>
      <c r="H4" s="10">
        <f t="shared" ref="H4:H16" si="0">C4*0.15</f>
        <v>127.5</v>
      </c>
      <c r="I4" s="10">
        <f>C4/$C$18*$I$21</f>
        <v>28.380398671096348</v>
      </c>
      <c r="J4" s="10">
        <f>C4/$C$18*$J$23</f>
        <v>47.441860465116278</v>
      </c>
      <c r="K4" s="10">
        <f>C4/$C$18*$K$25</f>
        <v>37.699335548172762</v>
      </c>
      <c r="L4" s="10">
        <f>C4/$C$18*$L$27</f>
        <v>19.768853820598007</v>
      </c>
      <c r="M4" s="10"/>
      <c r="N4" s="10"/>
      <c r="O4" s="10"/>
      <c r="P4" s="14">
        <f>SUM(D4:O4)</f>
        <v>260.79044850498337</v>
      </c>
    </row>
    <row r="5" spans="1:16" x14ac:dyDescent="0.35">
      <c r="A5" s="18">
        <v>2</v>
      </c>
      <c r="B5" s="18" t="s">
        <v>3</v>
      </c>
      <c r="C5" s="10">
        <v>3000</v>
      </c>
      <c r="D5" s="10"/>
      <c r="E5" s="10"/>
      <c r="F5" s="10"/>
      <c r="G5" s="10"/>
      <c r="H5" s="10">
        <f t="shared" si="0"/>
        <v>450</v>
      </c>
      <c r="I5" s="10">
        <f t="shared" ref="I5:I16" si="1">C5/$C$18*$I$21</f>
        <v>100.16611295681064</v>
      </c>
      <c r="J5" s="10">
        <f t="shared" ref="J5:J16" si="2">C5/$C$18*$J$23</f>
        <v>167.44186046511629</v>
      </c>
      <c r="K5" s="10">
        <f t="shared" ref="K5:K16" si="3">C5/$C$18*$K$25</f>
        <v>133.0564784053156</v>
      </c>
      <c r="L5" s="10">
        <f t="shared" ref="L5:L16" si="4">C5/$C$18*$L$27</f>
        <v>69.77242524916943</v>
      </c>
      <c r="M5" s="10"/>
      <c r="N5" s="10"/>
      <c r="O5" s="10"/>
      <c r="P5" s="14">
        <f t="shared" ref="P5:P15" si="5">SUM(D5:O5)</f>
        <v>920.43687707641197</v>
      </c>
    </row>
    <row r="6" spans="1:16" x14ac:dyDescent="0.35">
      <c r="A6" s="18">
        <v>3</v>
      </c>
      <c r="B6" s="18" t="s">
        <v>9</v>
      </c>
      <c r="C6" s="10">
        <f>500+13000</f>
        <v>13500</v>
      </c>
      <c r="D6" s="10"/>
      <c r="E6" s="10"/>
      <c r="F6" s="10"/>
      <c r="G6" s="10"/>
      <c r="H6" s="10">
        <f t="shared" si="0"/>
        <v>2025</v>
      </c>
      <c r="I6" s="10">
        <f t="shared" si="1"/>
        <v>450.74750830564784</v>
      </c>
      <c r="J6" s="10">
        <f t="shared" si="2"/>
        <v>753.48837209302326</v>
      </c>
      <c r="K6" s="10">
        <f t="shared" si="3"/>
        <v>598.75415282392021</v>
      </c>
      <c r="L6" s="10">
        <f t="shared" si="4"/>
        <v>313.97591362126241</v>
      </c>
      <c r="M6" s="10"/>
      <c r="N6" s="10"/>
      <c r="O6" s="10"/>
      <c r="P6" s="14">
        <f t="shared" si="5"/>
        <v>4141.965946843854</v>
      </c>
    </row>
    <row r="7" spans="1:16" x14ac:dyDescent="0.35">
      <c r="A7" s="18">
        <v>4</v>
      </c>
      <c r="B7" s="18" t="s">
        <v>4</v>
      </c>
      <c r="C7" s="10">
        <v>500</v>
      </c>
      <c r="D7" s="10"/>
      <c r="E7" s="10"/>
      <c r="F7" s="10"/>
      <c r="G7" s="10"/>
      <c r="H7" s="10">
        <f t="shared" si="0"/>
        <v>75</v>
      </c>
      <c r="I7" s="10">
        <f t="shared" si="1"/>
        <v>16.694352159468441</v>
      </c>
      <c r="J7" s="10">
        <f t="shared" si="2"/>
        <v>27.90697674418605</v>
      </c>
      <c r="K7" s="10">
        <f t="shared" si="3"/>
        <v>22.176079734219272</v>
      </c>
      <c r="L7" s="10">
        <f t="shared" si="4"/>
        <v>11.62873754152824</v>
      </c>
      <c r="M7" s="10"/>
      <c r="N7" s="10"/>
      <c r="O7" s="10"/>
      <c r="P7" s="14">
        <f t="shared" si="5"/>
        <v>153.40614617940199</v>
      </c>
    </row>
    <row r="8" spans="1:16" x14ac:dyDescent="0.35">
      <c r="A8" s="18">
        <v>5</v>
      </c>
      <c r="B8" s="18" t="s">
        <v>5</v>
      </c>
      <c r="C8" s="10">
        <v>500</v>
      </c>
      <c r="D8" s="10"/>
      <c r="E8" s="10"/>
      <c r="F8" s="10"/>
      <c r="G8" s="10"/>
      <c r="H8" s="10">
        <f t="shared" si="0"/>
        <v>75</v>
      </c>
      <c r="I8" s="10">
        <f t="shared" si="1"/>
        <v>16.694352159468441</v>
      </c>
      <c r="J8" s="10">
        <f t="shared" si="2"/>
        <v>27.90697674418605</v>
      </c>
      <c r="K8" s="10">
        <f t="shared" si="3"/>
        <v>22.176079734219272</v>
      </c>
      <c r="L8" s="10">
        <f t="shared" si="4"/>
        <v>11.62873754152824</v>
      </c>
      <c r="M8" s="10"/>
      <c r="N8" s="10"/>
      <c r="O8" s="10"/>
      <c r="P8" s="14">
        <f t="shared" si="5"/>
        <v>153.40614617940199</v>
      </c>
    </row>
    <row r="9" spans="1:16" x14ac:dyDescent="0.35">
      <c r="A9" s="18">
        <v>6</v>
      </c>
      <c r="B9" s="18" t="s">
        <v>6</v>
      </c>
      <c r="C9" s="10">
        <v>2000</v>
      </c>
      <c r="D9" s="10"/>
      <c r="E9" s="10"/>
      <c r="F9" s="10"/>
      <c r="G9" s="10"/>
      <c r="H9" s="10">
        <f t="shared" si="0"/>
        <v>300</v>
      </c>
      <c r="I9" s="10">
        <f t="shared" si="1"/>
        <v>66.777408637873762</v>
      </c>
      <c r="J9" s="10">
        <f t="shared" si="2"/>
        <v>111.6279069767442</v>
      </c>
      <c r="K9" s="10">
        <f t="shared" si="3"/>
        <v>88.704318936877087</v>
      </c>
      <c r="L9" s="10">
        <f t="shared" si="4"/>
        <v>46.514950166112961</v>
      </c>
      <c r="M9" s="10"/>
      <c r="N9" s="10"/>
      <c r="O9" s="10"/>
      <c r="P9" s="14">
        <f t="shared" si="5"/>
        <v>613.62458471760795</v>
      </c>
    </row>
    <row r="10" spans="1:16" x14ac:dyDescent="0.35">
      <c r="A10" s="18">
        <v>7</v>
      </c>
      <c r="B10" s="18" t="s">
        <v>7</v>
      </c>
      <c r="C10" s="10">
        <v>850</v>
      </c>
      <c r="D10" s="10"/>
      <c r="E10" s="10"/>
      <c r="F10" s="10"/>
      <c r="G10" s="10"/>
      <c r="H10" s="10">
        <f t="shared" si="0"/>
        <v>127.5</v>
      </c>
      <c r="I10" s="10">
        <f t="shared" si="1"/>
        <v>28.380398671096348</v>
      </c>
      <c r="J10" s="10">
        <f t="shared" si="2"/>
        <v>47.441860465116278</v>
      </c>
      <c r="K10" s="10">
        <f t="shared" si="3"/>
        <v>37.699335548172762</v>
      </c>
      <c r="L10" s="10">
        <f t="shared" si="4"/>
        <v>19.768853820598007</v>
      </c>
      <c r="M10" s="10"/>
      <c r="N10" s="10"/>
      <c r="O10" s="10"/>
      <c r="P10" s="14">
        <f t="shared" si="5"/>
        <v>260.79044850498337</v>
      </c>
    </row>
    <row r="11" spans="1:16" x14ac:dyDescent="0.35">
      <c r="A11" s="18">
        <v>8</v>
      </c>
      <c r="B11" s="18" t="s">
        <v>12</v>
      </c>
      <c r="C11" s="10">
        <v>500</v>
      </c>
      <c r="D11" s="10"/>
      <c r="E11" s="10"/>
      <c r="F11" s="10"/>
      <c r="G11" s="10"/>
      <c r="H11" s="10">
        <f t="shared" si="0"/>
        <v>75</v>
      </c>
      <c r="I11" s="10">
        <f t="shared" si="1"/>
        <v>16.694352159468441</v>
      </c>
      <c r="J11" s="10">
        <f t="shared" si="2"/>
        <v>27.90697674418605</v>
      </c>
      <c r="K11" s="10">
        <f t="shared" si="3"/>
        <v>22.176079734219272</v>
      </c>
      <c r="L11" s="10">
        <f t="shared" si="4"/>
        <v>11.62873754152824</v>
      </c>
      <c r="M11" s="10"/>
      <c r="N11" s="10"/>
      <c r="O11" s="10"/>
      <c r="P11" s="14">
        <f t="shared" si="5"/>
        <v>153.40614617940199</v>
      </c>
    </row>
    <row r="12" spans="1:16" x14ac:dyDescent="0.35">
      <c r="A12" s="18">
        <v>9</v>
      </c>
      <c r="B12" s="18" t="s">
        <v>8</v>
      </c>
      <c r="C12" s="10">
        <v>1000</v>
      </c>
      <c r="D12" s="10"/>
      <c r="E12" s="10"/>
      <c r="F12" s="10"/>
      <c r="G12" s="10"/>
      <c r="H12" s="10">
        <f t="shared" si="0"/>
        <v>150</v>
      </c>
      <c r="I12" s="10">
        <f t="shared" si="1"/>
        <v>33.388704318936881</v>
      </c>
      <c r="J12" s="10">
        <f t="shared" si="2"/>
        <v>55.8139534883721</v>
      </c>
      <c r="K12" s="10">
        <f t="shared" si="3"/>
        <v>44.352159468438543</v>
      </c>
      <c r="L12" s="10">
        <f t="shared" si="4"/>
        <v>23.25747508305648</v>
      </c>
      <c r="M12" s="10"/>
      <c r="N12" s="10"/>
      <c r="O12" s="10"/>
      <c r="P12" s="14">
        <f t="shared" si="5"/>
        <v>306.81229235880397</v>
      </c>
    </row>
    <row r="13" spans="1:16" x14ac:dyDescent="0.35">
      <c r="A13" s="18">
        <v>10</v>
      </c>
      <c r="B13" s="18" t="s">
        <v>13</v>
      </c>
      <c r="C13" s="10">
        <v>500</v>
      </c>
      <c r="D13" s="10"/>
      <c r="E13" s="10"/>
      <c r="F13" s="10"/>
      <c r="G13" s="10"/>
      <c r="H13" s="10">
        <f t="shared" si="0"/>
        <v>75</v>
      </c>
      <c r="I13" s="10">
        <f t="shared" si="1"/>
        <v>16.694352159468441</v>
      </c>
      <c r="J13" s="10">
        <f t="shared" si="2"/>
        <v>27.90697674418605</v>
      </c>
      <c r="K13" s="10">
        <f t="shared" si="3"/>
        <v>22.176079734219272</v>
      </c>
      <c r="L13" s="10">
        <f t="shared" si="4"/>
        <v>11.62873754152824</v>
      </c>
      <c r="M13" s="10"/>
      <c r="N13" s="10"/>
      <c r="O13" s="10"/>
      <c r="P13" s="14">
        <f t="shared" si="5"/>
        <v>153.40614617940199</v>
      </c>
    </row>
    <row r="14" spans="1:16" x14ac:dyDescent="0.35">
      <c r="A14" s="18">
        <v>11</v>
      </c>
      <c r="B14" s="18" t="s">
        <v>10</v>
      </c>
      <c r="C14" s="10">
        <v>5100</v>
      </c>
      <c r="D14" s="10"/>
      <c r="E14" s="10"/>
      <c r="F14" s="10"/>
      <c r="G14" s="10"/>
      <c r="H14" s="10">
        <f t="shared" si="0"/>
        <v>765</v>
      </c>
      <c r="I14" s="10">
        <f t="shared" si="1"/>
        <v>170.28239202657807</v>
      </c>
      <c r="J14" s="10">
        <f t="shared" si="2"/>
        <v>284.6511627906977</v>
      </c>
      <c r="K14" s="10">
        <f t="shared" si="3"/>
        <v>226.19601328903656</v>
      </c>
      <c r="L14" s="10">
        <f t="shared" si="4"/>
        <v>118.61312292358804</v>
      </c>
      <c r="M14" s="10"/>
      <c r="N14" s="10"/>
      <c r="O14" s="10"/>
      <c r="P14" s="14">
        <f t="shared" si="5"/>
        <v>1564.7426910299002</v>
      </c>
    </row>
    <row r="15" spans="1:16" x14ac:dyDescent="0.35">
      <c r="A15" s="18">
        <v>12</v>
      </c>
      <c r="B15" s="18" t="s">
        <v>14</v>
      </c>
      <c r="C15" s="10">
        <v>1200</v>
      </c>
      <c r="D15" s="10"/>
      <c r="E15" s="10"/>
      <c r="F15" s="10"/>
      <c r="G15" s="10"/>
      <c r="H15" s="10">
        <f t="shared" si="0"/>
        <v>180</v>
      </c>
      <c r="I15" s="10">
        <f t="shared" si="1"/>
        <v>40.066445182724252</v>
      </c>
      <c r="J15" s="10">
        <f t="shared" si="2"/>
        <v>66.976744186046503</v>
      </c>
      <c r="K15" s="10">
        <f t="shared" si="3"/>
        <v>53.222591362126245</v>
      </c>
      <c r="L15" s="10">
        <f t="shared" si="4"/>
        <v>27.908970099667769</v>
      </c>
      <c r="M15" s="10"/>
      <c r="N15" s="10"/>
      <c r="O15" s="10"/>
      <c r="P15" s="14">
        <f t="shared" si="5"/>
        <v>368.17475083056479</v>
      </c>
    </row>
    <row r="16" spans="1:16" x14ac:dyDescent="0.35">
      <c r="A16" s="18">
        <v>13</v>
      </c>
      <c r="B16" s="18" t="s">
        <v>11</v>
      </c>
      <c r="C16" s="10">
        <v>600</v>
      </c>
      <c r="D16" s="10"/>
      <c r="E16" s="10"/>
      <c r="F16" s="10"/>
      <c r="G16" s="10"/>
      <c r="H16" s="10">
        <f t="shared" si="0"/>
        <v>90</v>
      </c>
      <c r="I16" s="10">
        <f t="shared" si="1"/>
        <v>20.033222591362126</v>
      </c>
      <c r="J16" s="10">
        <f t="shared" si="2"/>
        <v>33.488372093023251</v>
      </c>
      <c r="K16" s="10">
        <f t="shared" si="3"/>
        <v>26.611295681063122</v>
      </c>
      <c r="L16" s="10">
        <f t="shared" si="4"/>
        <v>13.954485049833885</v>
      </c>
      <c r="M16" s="10"/>
      <c r="N16" s="10"/>
      <c r="O16" s="10"/>
      <c r="P16" s="14">
        <f>SUM(D16:O16)</f>
        <v>184.08737541528239</v>
      </c>
    </row>
    <row r="17" spans="2:16" x14ac:dyDescent="0.35">
      <c r="C17" s="1"/>
      <c r="D17" s="1"/>
      <c r="E17" s="1"/>
      <c r="F17" s="1"/>
      <c r="G17" s="1"/>
      <c r="H17" s="1"/>
      <c r="I17" s="1"/>
      <c r="J17" s="10"/>
      <c r="K17" s="1"/>
      <c r="L17" s="1"/>
      <c r="M17" s="1"/>
      <c r="N17" s="1"/>
      <c r="O17" s="1"/>
      <c r="P17" s="3"/>
    </row>
    <row r="18" spans="2:16" x14ac:dyDescent="0.35">
      <c r="C18" s="3">
        <f>SUM(C4:C17)</f>
        <v>30100</v>
      </c>
      <c r="D18" s="3">
        <f>SUM(D4:D17)</f>
        <v>0</v>
      </c>
      <c r="E18" s="3">
        <f t="shared" ref="E18:N18" si="6">SUM(E4:E17)</f>
        <v>0</v>
      </c>
      <c r="F18" s="3">
        <f>SUM(F4:F17)</f>
        <v>0</v>
      </c>
      <c r="G18" s="3">
        <f>SUM(G4:G17)</f>
        <v>0</v>
      </c>
      <c r="H18" s="3">
        <f>SUM(H4:H17)</f>
        <v>4515</v>
      </c>
      <c r="I18" s="3">
        <f t="shared" si="6"/>
        <v>1005</v>
      </c>
      <c r="J18" s="3">
        <f t="shared" si="6"/>
        <v>1680</v>
      </c>
      <c r="K18" s="3">
        <f t="shared" si="6"/>
        <v>1335</v>
      </c>
      <c r="L18" s="3">
        <f t="shared" si="6"/>
        <v>700.05000000000007</v>
      </c>
      <c r="M18" s="3">
        <f t="shared" si="6"/>
        <v>0</v>
      </c>
      <c r="N18" s="3">
        <f t="shared" si="6"/>
        <v>0</v>
      </c>
      <c r="O18" s="1"/>
      <c r="P18" s="3">
        <f>SUM(P4:P17)</f>
        <v>9235.0499999999993</v>
      </c>
    </row>
    <row r="20" spans="2:16" x14ac:dyDescent="0.35">
      <c r="B20" t="s">
        <v>93</v>
      </c>
      <c r="I20" s="4">
        <f>Declarations!H112</f>
        <v>6700</v>
      </c>
    </row>
    <row r="21" spans="2:16" x14ac:dyDescent="0.35">
      <c r="I21" s="4">
        <f>I20*0.15</f>
        <v>1005</v>
      </c>
    </row>
    <row r="22" spans="2:16" x14ac:dyDescent="0.35">
      <c r="B22" t="s">
        <v>97</v>
      </c>
      <c r="J22" s="4">
        <f>Declarations!H132</f>
        <v>11200</v>
      </c>
    </row>
    <row r="23" spans="2:16" x14ac:dyDescent="0.35">
      <c r="J23" s="4">
        <f>J22*0.15</f>
        <v>1680</v>
      </c>
    </row>
    <row r="24" spans="2:16" x14ac:dyDescent="0.35">
      <c r="B24" t="s">
        <v>104</v>
      </c>
      <c r="K24" s="4">
        <f>Declarations!G153</f>
        <v>8900</v>
      </c>
    </row>
    <row r="25" spans="2:16" x14ac:dyDescent="0.35">
      <c r="K25" s="4">
        <f>K24*0.15</f>
        <v>1335</v>
      </c>
    </row>
    <row r="26" spans="2:16" x14ac:dyDescent="0.35">
      <c r="B26" t="s">
        <v>119</v>
      </c>
      <c r="L26" s="4">
        <f>Declarations!G173</f>
        <v>4667</v>
      </c>
    </row>
    <row r="27" spans="2:16" x14ac:dyDescent="0.35">
      <c r="L27" s="4">
        <f>L26*0.15</f>
        <v>700.05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50C5-1698-436D-8993-CD416969598D}">
  <dimension ref="A1:P25"/>
  <sheetViews>
    <sheetView workbookViewId="0">
      <selection activeCell="L4" sqref="L4:L16"/>
    </sheetView>
  </sheetViews>
  <sheetFormatPr defaultRowHeight="14.5" x14ac:dyDescent="0.35"/>
  <cols>
    <col min="2" max="2" width="17.7265625" bestFit="1" customWidth="1"/>
    <col min="3" max="3" width="10.1796875" bestFit="1" customWidth="1"/>
    <col min="7" max="12" width="9.1796875" bestFit="1" customWidth="1"/>
    <col min="16" max="16" width="11.7265625" bestFit="1" customWidth="1"/>
  </cols>
  <sheetData>
    <row r="1" spans="1:16" x14ac:dyDescent="0.35">
      <c r="A1" s="24" t="s">
        <v>34</v>
      </c>
      <c r="B1" s="24"/>
      <c r="C1" s="23" t="s">
        <v>35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5">
      <c r="A2" s="20">
        <v>45778</v>
      </c>
      <c r="B2" s="18"/>
      <c r="C2" s="20"/>
      <c r="D2" s="20">
        <v>45658</v>
      </c>
      <c r="E2" s="20">
        <v>45689</v>
      </c>
      <c r="F2" s="20">
        <v>45717</v>
      </c>
      <c r="G2" s="20">
        <v>45748</v>
      </c>
      <c r="H2" s="20">
        <v>45778</v>
      </c>
      <c r="I2" s="20">
        <v>45809</v>
      </c>
      <c r="J2" s="20">
        <v>45839</v>
      </c>
      <c r="K2" s="20">
        <v>45870</v>
      </c>
      <c r="L2" s="20">
        <v>45901</v>
      </c>
      <c r="M2" s="20">
        <v>45931</v>
      </c>
      <c r="N2" s="20">
        <v>45962</v>
      </c>
      <c r="O2" s="20">
        <v>45992</v>
      </c>
      <c r="P2" s="18" t="s">
        <v>18</v>
      </c>
    </row>
    <row r="3" spans="1:16" x14ac:dyDescent="0.35">
      <c r="A3" s="18" t="s">
        <v>1</v>
      </c>
      <c r="B3" s="18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35">
      <c r="A4" s="18">
        <v>1</v>
      </c>
      <c r="B4" s="18" t="s">
        <v>2</v>
      </c>
      <c r="C4" s="10">
        <v>500</v>
      </c>
      <c r="D4" s="10"/>
      <c r="E4" s="10"/>
      <c r="F4" s="10"/>
      <c r="G4" s="10"/>
      <c r="H4" s="10"/>
      <c r="I4" s="10">
        <f>C4*0.15</f>
        <v>75</v>
      </c>
      <c r="J4" s="10">
        <f>C4/$C$18*$J$21</f>
        <v>4.6122994652406417</v>
      </c>
      <c r="K4" s="10">
        <f>C4/$C$18*$K$23</f>
        <v>17.787433155080212</v>
      </c>
      <c r="L4" s="10">
        <f>C4/$C$18*$L$25</f>
        <v>20.193850267379677</v>
      </c>
      <c r="M4" s="10"/>
      <c r="N4" s="10"/>
      <c r="O4" s="10"/>
      <c r="P4" s="14">
        <f>SUM(D4:O4)</f>
        <v>117.59358288770052</v>
      </c>
    </row>
    <row r="5" spans="1:16" x14ac:dyDescent="0.35">
      <c r="A5" s="18">
        <v>2</v>
      </c>
      <c r="B5" s="18" t="s">
        <v>3</v>
      </c>
      <c r="C5" s="10">
        <v>3000</v>
      </c>
      <c r="D5" s="10"/>
      <c r="E5" s="10"/>
      <c r="F5" s="10"/>
      <c r="G5" s="10"/>
      <c r="H5" s="10"/>
      <c r="I5" s="10">
        <f t="shared" ref="I5:I16" si="0">C5*0.15</f>
        <v>450</v>
      </c>
      <c r="J5" s="10">
        <f t="shared" ref="J5:J16" si="1">C5/$C$18*$J$21</f>
        <v>27.673796791443852</v>
      </c>
      <c r="K5" s="10">
        <f t="shared" ref="K5:K16" si="2">C5/$C$18*$K$23</f>
        <v>106.72459893048129</v>
      </c>
      <c r="L5" s="10">
        <f t="shared" ref="L5:L16" si="3">C5/$C$18*$L$25</f>
        <v>121.16310160427808</v>
      </c>
      <c r="M5" s="10"/>
      <c r="N5" s="10"/>
      <c r="O5" s="10"/>
      <c r="P5" s="14">
        <f t="shared" ref="P5:P15" si="4">SUM(D5:O5)</f>
        <v>705.56149732620315</v>
      </c>
    </row>
    <row r="6" spans="1:16" x14ac:dyDescent="0.35">
      <c r="A6" s="18">
        <v>3</v>
      </c>
      <c r="B6" s="18" t="s">
        <v>9</v>
      </c>
      <c r="C6" s="10">
        <v>500</v>
      </c>
      <c r="D6" s="10"/>
      <c r="E6" s="10"/>
      <c r="F6" s="10"/>
      <c r="G6" s="10"/>
      <c r="H6" s="10"/>
      <c r="I6" s="10">
        <f t="shared" si="0"/>
        <v>75</v>
      </c>
      <c r="J6" s="10">
        <f t="shared" si="1"/>
        <v>4.6122994652406417</v>
      </c>
      <c r="K6" s="10">
        <f t="shared" si="2"/>
        <v>17.787433155080212</v>
      </c>
      <c r="L6" s="10">
        <f t="shared" si="3"/>
        <v>20.193850267379677</v>
      </c>
      <c r="M6" s="10"/>
      <c r="N6" s="10"/>
      <c r="O6" s="10"/>
      <c r="P6" s="14">
        <f t="shared" si="4"/>
        <v>117.59358288770052</v>
      </c>
    </row>
    <row r="7" spans="1:16" x14ac:dyDescent="0.35">
      <c r="A7" s="18">
        <v>4</v>
      </c>
      <c r="B7" s="18" t="s">
        <v>4</v>
      </c>
      <c r="C7" s="10">
        <v>3000</v>
      </c>
      <c r="D7" s="10"/>
      <c r="E7" s="10"/>
      <c r="F7" s="10"/>
      <c r="G7" s="10"/>
      <c r="H7" s="10"/>
      <c r="I7" s="10">
        <f t="shared" si="0"/>
        <v>450</v>
      </c>
      <c r="J7" s="10">
        <f t="shared" si="1"/>
        <v>27.673796791443852</v>
      </c>
      <c r="K7" s="10">
        <f t="shared" si="2"/>
        <v>106.72459893048129</v>
      </c>
      <c r="L7" s="10">
        <f t="shared" si="3"/>
        <v>121.16310160427808</v>
      </c>
      <c r="M7" s="10"/>
      <c r="N7" s="10"/>
      <c r="O7" s="10"/>
      <c r="P7" s="14">
        <f t="shared" si="4"/>
        <v>705.56149732620315</v>
      </c>
    </row>
    <row r="8" spans="1:16" x14ac:dyDescent="0.35">
      <c r="A8" s="18">
        <v>5</v>
      </c>
      <c r="B8" s="18" t="s">
        <v>5</v>
      </c>
      <c r="C8" s="10">
        <v>500</v>
      </c>
      <c r="D8" s="10"/>
      <c r="E8" s="10"/>
      <c r="F8" s="10"/>
      <c r="G8" s="10"/>
      <c r="H8" s="10"/>
      <c r="I8" s="10">
        <f t="shared" si="0"/>
        <v>75</v>
      </c>
      <c r="J8" s="10">
        <f t="shared" si="1"/>
        <v>4.6122994652406417</v>
      </c>
      <c r="K8" s="10">
        <f t="shared" si="2"/>
        <v>17.787433155080212</v>
      </c>
      <c r="L8" s="10">
        <f t="shared" si="3"/>
        <v>20.193850267379677</v>
      </c>
      <c r="M8" s="10"/>
      <c r="N8" s="10"/>
      <c r="O8" s="10"/>
      <c r="P8" s="14">
        <f t="shared" si="4"/>
        <v>117.59358288770052</v>
      </c>
    </row>
    <row r="9" spans="1:16" x14ac:dyDescent="0.35">
      <c r="A9" s="18">
        <v>6</v>
      </c>
      <c r="B9" s="18" t="s">
        <v>6</v>
      </c>
      <c r="C9" s="10">
        <v>500</v>
      </c>
      <c r="D9" s="10"/>
      <c r="E9" s="10"/>
      <c r="F9" s="10"/>
      <c r="G9" s="10"/>
      <c r="H9" s="10"/>
      <c r="I9" s="10">
        <f t="shared" si="0"/>
        <v>75</v>
      </c>
      <c r="J9" s="10">
        <f t="shared" si="1"/>
        <v>4.6122994652406417</v>
      </c>
      <c r="K9" s="10">
        <f t="shared" si="2"/>
        <v>17.787433155080212</v>
      </c>
      <c r="L9" s="10">
        <f t="shared" si="3"/>
        <v>20.193850267379677</v>
      </c>
      <c r="M9" s="10"/>
      <c r="N9" s="10"/>
      <c r="O9" s="10"/>
      <c r="P9" s="14">
        <f t="shared" si="4"/>
        <v>117.59358288770052</v>
      </c>
    </row>
    <row r="10" spans="1:16" x14ac:dyDescent="0.35">
      <c r="A10" s="18">
        <v>7</v>
      </c>
      <c r="B10" s="18" t="s">
        <v>7</v>
      </c>
      <c r="C10" s="10">
        <v>500</v>
      </c>
      <c r="D10" s="10"/>
      <c r="E10" s="10"/>
      <c r="F10" s="10"/>
      <c r="G10" s="10"/>
      <c r="H10" s="10"/>
      <c r="I10" s="10">
        <f t="shared" si="0"/>
        <v>75</v>
      </c>
      <c r="J10" s="10">
        <f t="shared" si="1"/>
        <v>4.6122994652406417</v>
      </c>
      <c r="K10" s="10">
        <f t="shared" si="2"/>
        <v>17.787433155080212</v>
      </c>
      <c r="L10" s="10">
        <f t="shared" si="3"/>
        <v>20.193850267379677</v>
      </c>
      <c r="M10" s="10"/>
      <c r="N10" s="10"/>
      <c r="O10" s="10"/>
      <c r="P10" s="14">
        <f t="shared" si="4"/>
        <v>117.59358288770052</v>
      </c>
    </row>
    <row r="11" spans="1:16" x14ac:dyDescent="0.35">
      <c r="A11" s="18">
        <v>8</v>
      </c>
      <c r="B11" s="18" t="s">
        <v>12</v>
      </c>
      <c r="C11" s="10">
        <v>550</v>
      </c>
      <c r="D11" s="10"/>
      <c r="E11" s="10"/>
      <c r="F11" s="10"/>
      <c r="G11" s="10"/>
      <c r="H11" s="10"/>
      <c r="I11" s="10">
        <f t="shared" si="0"/>
        <v>82.5</v>
      </c>
      <c r="J11" s="10">
        <f t="shared" si="1"/>
        <v>5.0735294117647056</v>
      </c>
      <c r="K11" s="10">
        <f t="shared" si="2"/>
        <v>19.566176470588236</v>
      </c>
      <c r="L11" s="10">
        <f t="shared" si="3"/>
        <v>22.213235294117649</v>
      </c>
      <c r="M11" s="10"/>
      <c r="N11" s="10"/>
      <c r="O11" s="10"/>
      <c r="P11" s="14">
        <f t="shared" si="4"/>
        <v>129.35294117647058</v>
      </c>
    </row>
    <row r="12" spans="1:16" x14ac:dyDescent="0.35">
      <c r="A12" s="18">
        <v>9</v>
      </c>
      <c r="B12" s="18" t="s">
        <v>8</v>
      </c>
      <c r="C12" s="10">
        <v>2850</v>
      </c>
      <c r="D12" s="10"/>
      <c r="E12" s="10"/>
      <c r="F12" s="10"/>
      <c r="G12" s="10"/>
      <c r="H12" s="10"/>
      <c r="I12" s="10">
        <f t="shared" si="0"/>
        <v>427.5</v>
      </c>
      <c r="J12" s="10">
        <f t="shared" si="1"/>
        <v>26.290106951871657</v>
      </c>
      <c r="K12" s="10">
        <f t="shared" si="2"/>
        <v>101.38836898395722</v>
      </c>
      <c r="L12" s="10">
        <f t="shared" si="3"/>
        <v>115.10494652406418</v>
      </c>
      <c r="M12" s="10"/>
      <c r="N12" s="10"/>
      <c r="O12" s="10"/>
      <c r="P12" s="14">
        <f t="shared" si="4"/>
        <v>670.28342245989313</v>
      </c>
    </row>
    <row r="13" spans="1:16" x14ac:dyDescent="0.35">
      <c r="A13" s="18">
        <v>10</v>
      </c>
      <c r="B13" s="18" t="s">
        <v>13</v>
      </c>
      <c r="C13" s="10">
        <v>500</v>
      </c>
      <c r="D13" s="10"/>
      <c r="E13" s="10"/>
      <c r="F13" s="10"/>
      <c r="G13" s="10"/>
      <c r="H13" s="10"/>
      <c r="I13" s="10">
        <f t="shared" si="0"/>
        <v>75</v>
      </c>
      <c r="J13" s="10">
        <f t="shared" si="1"/>
        <v>4.6122994652406417</v>
      </c>
      <c r="K13" s="10">
        <f t="shared" si="2"/>
        <v>17.787433155080212</v>
      </c>
      <c r="L13" s="10">
        <f t="shared" si="3"/>
        <v>20.193850267379677</v>
      </c>
      <c r="M13" s="10"/>
      <c r="N13" s="10"/>
      <c r="O13" s="10"/>
      <c r="P13" s="14">
        <f t="shared" si="4"/>
        <v>117.59358288770052</v>
      </c>
    </row>
    <row r="14" spans="1:16" x14ac:dyDescent="0.35">
      <c r="A14" s="18">
        <v>11</v>
      </c>
      <c r="B14" s="18" t="s">
        <v>10</v>
      </c>
      <c r="C14" s="10">
        <v>5100</v>
      </c>
      <c r="D14" s="10"/>
      <c r="E14" s="10"/>
      <c r="F14" s="10"/>
      <c r="G14" s="10"/>
      <c r="H14" s="10"/>
      <c r="I14" s="10">
        <f t="shared" si="0"/>
        <v>765</v>
      </c>
      <c r="J14" s="10">
        <f t="shared" si="1"/>
        <v>47.04545454545454</v>
      </c>
      <c r="K14" s="10">
        <f t="shared" si="2"/>
        <v>181.43181818181816</v>
      </c>
      <c r="L14" s="10">
        <f t="shared" si="3"/>
        <v>205.97727272727272</v>
      </c>
      <c r="M14" s="10"/>
      <c r="N14" s="10"/>
      <c r="O14" s="10"/>
      <c r="P14" s="14">
        <f t="shared" si="4"/>
        <v>1199.4545454545453</v>
      </c>
    </row>
    <row r="15" spans="1:16" x14ac:dyDescent="0.35">
      <c r="A15" s="18">
        <v>12</v>
      </c>
      <c r="B15" s="18" t="s">
        <v>14</v>
      </c>
      <c r="C15" s="10">
        <v>500</v>
      </c>
      <c r="D15" s="10"/>
      <c r="E15" s="10"/>
      <c r="F15" s="10"/>
      <c r="G15" s="10"/>
      <c r="H15" s="10"/>
      <c r="I15" s="10">
        <f t="shared" si="0"/>
        <v>75</v>
      </c>
      <c r="J15" s="10">
        <f t="shared" si="1"/>
        <v>4.6122994652406417</v>
      </c>
      <c r="K15" s="10">
        <f t="shared" si="2"/>
        <v>17.787433155080212</v>
      </c>
      <c r="L15" s="10">
        <f t="shared" si="3"/>
        <v>20.193850267379677</v>
      </c>
      <c r="M15" s="10"/>
      <c r="N15" s="10"/>
      <c r="O15" s="10"/>
      <c r="P15" s="14">
        <f t="shared" si="4"/>
        <v>117.59358288770052</v>
      </c>
    </row>
    <row r="16" spans="1:16" x14ac:dyDescent="0.35">
      <c r="A16" s="18">
        <v>13</v>
      </c>
      <c r="B16" s="18" t="s">
        <v>11</v>
      </c>
      <c r="C16" s="10">
        <v>700</v>
      </c>
      <c r="D16" s="10"/>
      <c r="E16" s="10"/>
      <c r="F16" s="10"/>
      <c r="G16" s="10"/>
      <c r="H16" s="10"/>
      <c r="I16" s="10">
        <f t="shared" si="0"/>
        <v>105</v>
      </c>
      <c r="J16" s="10">
        <f t="shared" si="1"/>
        <v>6.4572192513368982</v>
      </c>
      <c r="K16" s="10">
        <f t="shared" si="2"/>
        <v>24.902406417112296</v>
      </c>
      <c r="L16" s="10">
        <f t="shared" si="3"/>
        <v>28.271390374331549</v>
      </c>
      <c r="M16" s="10"/>
      <c r="N16" s="10"/>
      <c r="O16" s="10"/>
      <c r="P16" s="14">
        <f>SUM(D16:O16)</f>
        <v>164.63101604278074</v>
      </c>
    </row>
    <row r="17" spans="2:16" x14ac:dyDescent="0.3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</row>
    <row r="18" spans="2:16" x14ac:dyDescent="0.35">
      <c r="C18" s="3">
        <f>SUM(C4:C17)</f>
        <v>18700</v>
      </c>
      <c r="D18" s="3">
        <f>SUM(D4:D17)</f>
        <v>0</v>
      </c>
      <c r="E18" s="3">
        <f t="shared" ref="E18:N18" si="5">SUM(E4:E17)</f>
        <v>0</v>
      </c>
      <c r="F18" s="3">
        <f>SUM(F4:F17)</f>
        <v>0</v>
      </c>
      <c r="G18" s="3">
        <f>SUM(G4:G17)</f>
        <v>0</v>
      </c>
      <c r="H18" s="3">
        <f>SUM(H4:H17)</f>
        <v>0</v>
      </c>
      <c r="I18" s="3">
        <f t="shared" si="5"/>
        <v>2805</v>
      </c>
      <c r="J18" s="3">
        <f t="shared" si="5"/>
        <v>172.50000000000003</v>
      </c>
      <c r="K18" s="3">
        <f t="shared" si="5"/>
        <v>665.25</v>
      </c>
      <c r="L18" s="3">
        <f t="shared" si="5"/>
        <v>755.25</v>
      </c>
      <c r="M18" s="3">
        <f t="shared" si="5"/>
        <v>0</v>
      </c>
      <c r="N18" s="3">
        <f t="shared" si="5"/>
        <v>0</v>
      </c>
      <c r="O18" s="1"/>
      <c r="P18" s="3">
        <f>SUM(P4:P17)</f>
        <v>4398</v>
      </c>
    </row>
    <row r="20" spans="2:16" x14ac:dyDescent="0.35">
      <c r="B20" t="s">
        <v>97</v>
      </c>
      <c r="J20" s="4">
        <f>Declarations!I132</f>
        <v>1150</v>
      </c>
    </row>
    <row r="21" spans="2:16" x14ac:dyDescent="0.35">
      <c r="I21" s="4"/>
      <c r="J21" s="4">
        <f>J20*0.15</f>
        <v>172.5</v>
      </c>
    </row>
    <row r="22" spans="2:16" x14ac:dyDescent="0.35">
      <c r="B22" t="s">
        <v>104</v>
      </c>
      <c r="K22" s="4">
        <f>Declarations!H153</f>
        <v>4435</v>
      </c>
    </row>
    <row r="23" spans="2:16" x14ac:dyDescent="0.35">
      <c r="K23" s="4">
        <f>K22*0.15</f>
        <v>665.25</v>
      </c>
    </row>
    <row r="24" spans="2:16" x14ac:dyDescent="0.35">
      <c r="B24" t="s">
        <v>118</v>
      </c>
      <c r="L24" s="4">
        <f>Declarations!H173</f>
        <v>5035</v>
      </c>
    </row>
    <row r="25" spans="2:16" x14ac:dyDescent="0.35">
      <c r="L25" s="4">
        <f>L24*0.15</f>
        <v>755.25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8C88A-A5AB-4012-9043-0006F2D3EA79}">
  <dimension ref="A1:P23"/>
  <sheetViews>
    <sheetView workbookViewId="0">
      <selection activeCell="L5" sqref="L5"/>
    </sheetView>
  </sheetViews>
  <sheetFormatPr defaultRowHeight="14.5" x14ac:dyDescent="0.35"/>
  <cols>
    <col min="2" max="2" width="17.7265625" bestFit="1" customWidth="1"/>
    <col min="3" max="3" width="10.1796875" bestFit="1" customWidth="1"/>
    <col min="7" max="10" width="9.1796875" bestFit="1" customWidth="1"/>
    <col min="11" max="12" width="10.1796875" bestFit="1" customWidth="1"/>
    <col min="16" max="16" width="11.7265625" bestFit="1" customWidth="1"/>
  </cols>
  <sheetData>
    <row r="1" spans="1:16" x14ac:dyDescent="0.35">
      <c r="A1" s="24" t="s">
        <v>34</v>
      </c>
      <c r="B1" s="24"/>
      <c r="C1" s="23" t="s">
        <v>35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35">
      <c r="A2" s="20">
        <v>45778</v>
      </c>
      <c r="B2" s="18"/>
      <c r="C2" s="20"/>
      <c r="D2" s="20">
        <v>45658</v>
      </c>
      <c r="E2" s="20">
        <v>45689</v>
      </c>
      <c r="F2" s="20">
        <v>45717</v>
      </c>
      <c r="G2" s="20">
        <v>45748</v>
      </c>
      <c r="H2" s="20">
        <v>45778</v>
      </c>
      <c r="I2" s="20">
        <v>45809</v>
      </c>
      <c r="J2" s="20">
        <v>45839</v>
      </c>
      <c r="K2" s="20">
        <v>45870</v>
      </c>
      <c r="L2" s="20">
        <v>45901</v>
      </c>
      <c r="M2" s="20">
        <v>45931</v>
      </c>
      <c r="N2" s="20">
        <v>45962</v>
      </c>
      <c r="O2" s="20">
        <v>45992</v>
      </c>
      <c r="P2" s="18" t="s">
        <v>18</v>
      </c>
    </row>
    <row r="3" spans="1:16" x14ac:dyDescent="0.35">
      <c r="A3" s="18" t="s">
        <v>1</v>
      </c>
      <c r="B3" s="18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16" x14ac:dyDescent="0.35">
      <c r="A4" s="18">
        <v>1</v>
      </c>
      <c r="B4" s="18" t="s">
        <v>2</v>
      </c>
      <c r="C4" s="10">
        <v>500</v>
      </c>
      <c r="D4" s="10"/>
      <c r="E4" s="10"/>
      <c r="F4" s="10"/>
      <c r="G4" s="10"/>
      <c r="H4" s="10"/>
      <c r="I4" s="10"/>
      <c r="J4" s="10">
        <f t="shared" ref="J4:J16" si="0">C4*0.15</f>
        <v>75</v>
      </c>
      <c r="K4" s="10">
        <f>C4/$C$18*$K$21</f>
        <v>61.348920863309353</v>
      </c>
      <c r="L4" s="10">
        <f>C4/$C$18*$L$23</f>
        <v>67.068345323740999</v>
      </c>
      <c r="M4" s="10"/>
      <c r="N4" s="10"/>
      <c r="O4" s="10"/>
      <c r="P4" s="14">
        <f>SUM(D4:O4)</f>
        <v>203.41726618705036</v>
      </c>
    </row>
    <row r="5" spans="1:16" x14ac:dyDescent="0.35">
      <c r="A5" s="18">
        <v>2</v>
      </c>
      <c r="B5" s="18" t="s">
        <v>3</v>
      </c>
      <c r="C5" s="10">
        <v>500</v>
      </c>
      <c r="D5" s="10"/>
      <c r="E5" s="10"/>
      <c r="F5" s="10"/>
      <c r="G5" s="10"/>
      <c r="H5" s="10"/>
      <c r="I5" s="10"/>
      <c r="J5" s="10">
        <f t="shared" si="0"/>
        <v>75</v>
      </c>
      <c r="K5" s="10">
        <f t="shared" ref="K5:K16" si="1">C5/$C$18*$K$21</f>
        <v>61.348920863309353</v>
      </c>
      <c r="L5" s="10">
        <f t="shared" ref="L5:L16" si="2">C5/$C$18*$L$23</f>
        <v>67.068345323740999</v>
      </c>
      <c r="M5" s="10"/>
      <c r="N5" s="10"/>
      <c r="O5" s="10"/>
      <c r="P5" s="14">
        <f t="shared" ref="P5:P15" si="3">SUM(D5:O5)</f>
        <v>203.41726618705036</v>
      </c>
    </row>
    <row r="6" spans="1:16" x14ac:dyDescent="0.35">
      <c r="A6" s="18">
        <v>3</v>
      </c>
      <c r="B6" s="18" t="s">
        <v>9</v>
      </c>
      <c r="C6" s="10">
        <v>500</v>
      </c>
      <c r="D6" s="10"/>
      <c r="E6" s="10"/>
      <c r="F6" s="10"/>
      <c r="G6" s="10"/>
      <c r="H6" s="10"/>
      <c r="I6" s="10"/>
      <c r="J6" s="10">
        <f t="shared" si="0"/>
        <v>75</v>
      </c>
      <c r="K6" s="10">
        <f t="shared" si="1"/>
        <v>61.348920863309353</v>
      </c>
      <c r="L6" s="10">
        <f t="shared" si="2"/>
        <v>67.068345323740999</v>
      </c>
      <c r="M6" s="10"/>
      <c r="N6" s="10"/>
      <c r="O6" s="10"/>
      <c r="P6" s="14">
        <f t="shared" si="3"/>
        <v>203.41726618705036</v>
      </c>
    </row>
    <row r="7" spans="1:16" x14ac:dyDescent="0.35">
      <c r="A7" s="18">
        <v>4</v>
      </c>
      <c r="B7" s="18" t="s">
        <v>4</v>
      </c>
      <c r="C7" s="10">
        <v>500</v>
      </c>
      <c r="D7" s="10"/>
      <c r="E7" s="10"/>
      <c r="F7" s="10"/>
      <c r="G7" s="10"/>
      <c r="H7" s="10"/>
      <c r="I7" s="10"/>
      <c r="J7" s="10">
        <f t="shared" si="0"/>
        <v>75</v>
      </c>
      <c r="K7" s="10">
        <f t="shared" si="1"/>
        <v>61.348920863309353</v>
      </c>
      <c r="L7" s="10">
        <f t="shared" si="2"/>
        <v>67.068345323740999</v>
      </c>
      <c r="M7" s="10"/>
      <c r="N7" s="10"/>
      <c r="O7" s="10"/>
      <c r="P7" s="14">
        <f t="shared" si="3"/>
        <v>203.41726618705036</v>
      </c>
    </row>
    <row r="8" spans="1:16" x14ac:dyDescent="0.35">
      <c r="A8" s="18">
        <v>5</v>
      </c>
      <c r="B8" s="18" t="s">
        <v>5</v>
      </c>
      <c r="C8" s="10">
        <v>500</v>
      </c>
      <c r="D8" s="10"/>
      <c r="E8" s="10"/>
      <c r="F8" s="10"/>
      <c r="G8" s="10"/>
      <c r="H8" s="10"/>
      <c r="I8" s="10"/>
      <c r="J8" s="10">
        <f t="shared" si="0"/>
        <v>75</v>
      </c>
      <c r="K8" s="10">
        <f t="shared" si="1"/>
        <v>61.348920863309353</v>
      </c>
      <c r="L8" s="10">
        <f t="shared" si="2"/>
        <v>67.068345323740999</v>
      </c>
      <c r="M8" s="10"/>
      <c r="N8" s="10"/>
      <c r="O8" s="10"/>
      <c r="P8" s="14">
        <f t="shared" si="3"/>
        <v>203.41726618705036</v>
      </c>
    </row>
    <row r="9" spans="1:16" x14ac:dyDescent="0.35">
      <c r="A9" s="18">
        <v>6</v>
      </c>
      <c r="B9" s="18" t="s">
        <v>6</v>
      </c>
      <c r="C9" s="10">
        <v>500</v>
      </c>
      <c r="D9" s="10"/>
      <c r="E9" s="10"/>
      <c r="F9" s="10"/>
      <c r="G9" s="10"/>
      <c r="H9" s="10"/>
      <c r="I9" s="10"/>
      <c r="J9" s="10">
        <f t="shared" si="0"/>
        <v>75</v>
      </c>
      <c r="K9" s="10">
        <f t="shared" si="1"/>
        <v>61.348920863309353</v>
      </c>
      <c r="L9" s="10">
        <f t="shared" si="2"/>
        <v>67.068345323740999</v>
      </c>
      <c r="M9" s="10"/>
      <c r="N9" s="10"/>
      <c r="O9" s="10"/>
      <c r="P9" s="14">
        <f t="shared" si="3"/>
        <v>203.41726618705036</v>
      </c>
    </row>
    <row r="10" spans="1:16" x14ac:dyDescent="0.35">
      <c r="A10" s="18">
        <v>7</v>
      </c>
      <c r="B10" s="18" t="s">
        <v>7</v>
      </c>
      <c r="C10" s="10">
        <v>2850</v>
      </c>
      <c r="D10" s="10"/>
      <c r="E10" s="10"/>
      <c r="F10" s="10"/>
      <c r="G10" s="10"/>
      <c r="H10" s="10"/>
      <c r="I10" s="10"/>
      <c r="J10" s="10">
        <f t="shared" si="0"/>
        <v>427.5</v>
      </c>
      <c r="K10" s="10">
        <f t="shared" si="1"/>
        <v>349.68884892086334</v>
      </c>
      <c r="L10" s="10">
        <f t="shared" si="2"/>
        <v>382.28956834532374</v>
      </c>
      <c r="M10" s="10"/>
      <c r="N10" s="10"/>
      <c r="O10" s="10"/>
      <c r="P10" s="14">
        <f t="shared" si="3"/>
        <v>1159.4784172661871</v>
      </c>
    </row>
    <row r="11" spans="1:16" x14ac:dyDescent="0.35">
      <c r="A11" s="18">
        <v>8</v>
      </c>
      <c r="B11" s="18" t="s">
        <v>12</v>
      </c>
      <c r="C11" s="10">
        <v>500</v>
      </c>
      <c r="D11" s="10"/>
      <c r="E11" s="10"/>
      <c r="F11" s="10"/>
      <c r="G11" s="10"/>
      <c r="H11" s="10"/>
      <c r="I11" s="10"/>
      <c r="J11" s="10">
        <f t="shared" si="0"/>
        <v>75</v>
      </c>
      <c r="K11" s="10">
        <f t="shared" si="1"/>
        <v>61.348920863309353</v>
      </c>
      <c r="L11" s="10">
        <f t="shared" si="2"/>
        <v>67.068345323740999</v>
      </c>
      <c r="M11" s="10"/>
      <c r="N11" s="10"/>
      <c r="O11" s="10"/>
      <c r="P11" s="14">
        <f t="shared" si="3"/>
        <v>203.41726618705036</v>
      </c>
    </row>
    <row r="12" spans="1:16" x14ac:dyDescent="0.35">
      <c r="A12" s="18">
        <v>9</v>
      </c>
      <c r="B12" s="18" t="s">
        <v>8</v>
      </c>
      <c r="C12" s="10">
        <v>2350</v>
      </c>
      <c r="D12" s="10"/>
      <c r="E12" s="10"/>
      <c r="F12" s="10"/>
      <c r="G12" s="10"/>
      <c r="H12" s="10"/>
      <c r="I12" s="10"/>
      <c r="J12" s="10">
        <f t="shared" si="0"/>
        <v>352.5</v>
      </c>
      <c r="K12" s="10">
        <f t="shared" si="1"/>
        <v>288.33992805755395</v>
      </c>
      <c r="L12" s="10">
        <f t="shared" si="2"/>
        <v>315.22122302158272</v>
      </c>
      <c r="M12" s="10"/>
      <c r="N12" s="10"/>
      <c r="O12" s="10"/>
      <c r="P12" s="14">
        <f t="shared" si="3"/>
        <v>956.06115107913661</v>
      </c>
    </row>
    <row r="13" spans="1:16" x14ac:dyDescent="0.35">
      <c r="A13" s="18">
        <v>10</v>
      </c>
      <c r="B13" s="18" t="s">
        <v>13</v>
      </c>
      <c r="C13" s="10">
        <v>500</v>
      </c>
      <c r="D13" s="10"/>
      <c r="E13" s="10"/>
      <c r="F13" s="10"/>
      <c r="G13" s="10"/>
      <c r="H13" s="10"/>
      <c r="I13" s="10"/>
      <c r="J13" s="10">
        <f t="shared" si="0"/>
        <v>75</v>
      </c>
      <c r="K13" s="10">
        <f t="shared" si="1"/>
        <v>61.348920863309353</v>
      </c>
      <c r="L13" s="10">
        <f t="shared" si="2"/>
        <v>67.068345323740999</v>
      </c>
      <c r="M13" s="10"/>
      <c r="N13" s="10"/>
      <c r="O13" s="10"/>
      <c r="P13" s="14">
        <f t="shared" si="3"/>
        <v>203.41726618705036</v>
      </c>
    </row>
    <row r="14" spans="1:16" x14ac:dyDescent="0.35">
      <c r="A14" s="18">
        <v>11</v>
      </c>
      <c r="B14" s="18" t="s">
        <v>10</v>
      </c>
      <c r="C14" s="10">
        <v>3100</v>
      </c>
      <c r="D14" s="10"/>
      <c r="E14" s="10"/>
      <c r="F14" s="10"/>
      <c r="G14" s="10"/>
      <c r="H14" s="10"/>
      <c r="I14" s="10"/>
      <c r="J14" s="10">
        <f t="shared" si="0"/>
        <v>465</v>
      </c>
      <c r="K14" s="10">
        <f t="shared" si="1"/>
        <v>380.363309352518</v>
      </c>
      <c r="L14" s="10">
        <f t="shared" si="2"/>
        <v>415.82374100719426</v>
      </c>
      <c r="M14" s="10"/>
      <c r="N14" s="10"/>
      <c r="O14" s="10"/>
      <c r="P14" s="14">
        <f t="shared" si="3"/>
        <v>1261.1870503597122</v>
      </c>
    </row>
    <row r="15" spans="1:16" x14ac:dyDescent="0.35">
      <c r="A15" s="18">
        <v>12</v>
      </c>
      <c r="B15" s="18" t="s">
        <v>14</v>
      </c>
      <c r="C15" s="10">
        <v>1000</v>
      </c>
      <c r="D15" s="10"/>
      <c r="E15" s="10"/>
      <c r="F15" s="10"/>
      <c r="G15" s="10"/>
      <c r="H15" s="10"/>
      <c r="I15" s="10"/>
      <c r="J15" s="10">
        <f t="shared" si="0"/>
        <v>150</v>
      </c>
      <c r="K15" s="10">
        <f t="shared" si="1"/>
        <v>122.69784172661871</v>
      </c>
      <c r="L15" s="10">
        <f t="shared" si="2"/>
        <v>134.136690647482</v>
      </c>
      <c r="M15" s="10"/>
      <c r="N15" s="10"/>
      <c r="O15" s="10"/>
      <c r="P15" s="14">
        <f t="shared" si="3"/>
        <v>406.83453237410072</v>
      </c>
    </row>
    <row r="16" spans="1:16" x14ac:dyDescent="0.35">
      <c r="A16" s="18">
        <v>13</v>
      </c>
      <c r="B16" s="18" t="s">
        <v>11</v>
      </c>
      <c r="C16" s="10">
        <v>600</v>
      </c>
      <c r="D16" s="10"/>
      <c r="E16" s="10"/>
      <c r="F16" s="10"/>
      <c r="G16" s="10"/>
      <c r="H16" s="10"/>
      <c r="I16" s="10"/>
      <c r="J16" s="10">
        <f t="shared" si="0"/>
        <v>90</v>
      </c>
      <c r="K16" s="10">
        <f t="shared" si="1"/>
        <v>73.618705035971232</v>
      </c>
      <c r="L16" s="10">
        <f t="shared" si="2"/>
        <v>80.482014388489219</v>
      </c>
      <c r="M16" s="10"/>
      <c r="N16" s="10"/>
      <c r="O16" s="10"/>
      <c r="P16" s="14">
        <f>SUM(D16:O16)</f>
        <v>244.10071942446046</v>
      </c>
    </row>
    <row r="17" spans="2:16" x14ac:dyDescent="0.35"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3"/>
    </row>
    <row r="18" spans="2:16" x14ac:dyDescent="0.35">
      <c r="C18" s="3">
        <f>SUM(C4:C17)</f>
        <v>13900</v>
      </c>
      <c r="D18" s="3">
        <f>SUM(D4:D17)</f>
        <v>0</v>
      </c>
      <c r="E18" s="3">
        <f t="shared" ref="E18:N18" si="4">SUM(E4:E17)</f>
        <v>0</v>
      </c>
      <c r="F18" s="3">
        <f>SUM(F4:F17)</f>
        <v>0</v>
      </c>
      <c r="G18" s="3">
        <f>SUM(G4:G17)</f>
        <v>0</v>
      </c>
      <c r="H18" s="3">
        <f>SUM(H4:H17)</f>
        <v>0</v>
      </c>
      <c r="I18" s="3">
        <f t="shared" si="4"/>
        <v>0</v>
      </c>
      <c r="J18" s="3">
        <f>SUM(J4:J17)</f>
        <v>2085</v>
      </c>
      <c r="K18" s="3">
        <f t="shared" si="4"/>
        <v>1705.5</v>
      </c>
      <c r="L18" s="3">
        <f t="shared" si="4"/>
        <v>1864.5</v>
      </c>
      <c r="M18" s="3">
        <f t="shared" si="4"/>
        <v>0</v>
      </c>
      <c r="N18" s="3">
        <f t="shared" si="4"/>
        <v>0</v>
      </c>
      <c r="O18" s="1"/>
      <c r="P18" s="3">
        <f>SUM(P4:P17)</f>
        <v>5654.9999999999991</v>
      </c>
    </row>
    <row r="20" spans="2:16" x14ac:dyDescent="0.35">
      <c r="B20" t="s">
        <v>104</v>
      </c>
      <c r="I20" s="4"/>
      <c r="K20" s="4">
        <f>Declarations!I153</f>
        <v>11370</v>
      </c>
    </row>
    <row r="21" spans="2:16" x14ac:dyDescent="0.35">
      <c r="I21" s="4"/>
      <c r="K21" s="4">
        <f>K20*0.15</f>
        <v>1705.5</v>
      </c>
    </row>
    <row r="22" spans="2:16" x14ac:dyDescent="0.35">
      <c r="B22" t="s">
        <v>117</v>
      </c>
      <c r="L22" s="4">
        <f>Declarations!I173</f>
        <v>12430</v>
      </c>
    </row>
    <row r="23" spans="2:16" x14ac:dyDescent="0.35">
      <c r="L23" s="4">
        <f>L22*0.15</f>
        <v>1864.5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B42C4-EEEE-4669-9DF8-8D6BB56CE23F}">
  <dimension ref="A1:O21"/>
  <sheetViews>
    <sheetView workbookViewId="0">
      <selection activeCell="E17" sqref="E17"/>
    </sheetView>
  </sheetViews>
  <sheetFormatPr defaultRowHeight="14.5" x14ac:dyDescent="0.35"/>
  <cols>
    <col min="2" max="2" width="17.7265625" bestFit="1" customWidth="1"/>
    <col min="3" max="3" width="10.1796875" bestFit="1" customWidth="1"/>
    <col min="4" max="5" width="9.1796875" bestFit="1" customWidth="1"/>
    <col min="10" max="10" width="11.7265625" bestFit="1" customWidth="1"/>
  </cols>
  <sheetData>
    <row r="1" spans="1:15" x14ac:dyDescent="0.35">
      <c r="A1" s="24" t="s">
        <v>34</v>
      </c>
      <c r="B1" s="24"/>
      <c r="C1" s="23" t="s">
        <v>35</v>
      </c>
      <c r="D1" s="24"/>
      <c r="E1" s="24"/>
      <c r="F1" s="24"/>
      <c r="G1" s="24"/>
      <c r="H1" s="24"/>
      <c r="I1" s="24"/>
      <c r="J1" s="24"/>
    </row>
    <row r="2" spans="1:15" x14ac:dyDescent="0.35">
      <c r="A2" s="20">
        <v>45870</v>
      </c>
      <c r="B2" s="18"/>
      <c r="C2" s="20"/>
      <c r="D2" s="20">
        <v>45870</v>
      </c>
      <c r="E2" s="20">
        <v>45901</v>
      </c>
      <c r="F2" s="20">
        <v>45931</v>
      </c>
      <c r="G2" s="20">
        <v>45962</v>
      </c>
      <c r="H2" s="20">
        <v>45992</v>
      </c>
      <c r="I2" s="20">
        <v>45992</v>
      </c>
      <c r="J2" s="18" t="s">
        <v>18</v>
      </c>
    </row>
    <row r="3" spans="1:15" x14ac:dyDescent="0.35">
      <c r="A3" s="18" t="s">
        <v>1</v>
      </c>
      <c r="B3" s="18" t="s">
        <v>0</v>
      </c>
      <c r="C3" s="9"/>
      <c r="D3" s="9"/>
      <c r="E3" s="9"/>
      <c r="F3" s="9"/>
      <c r="G3" s="9"/>
      <c r="H3" s="9"/>
      <c r="I3" s="9"/>
      <c r="J3" s="9"/>
    </row>
    <row r="4" spans="1:15" x14ac:dyDescent="0.35">
      <c r="A4" s="18">
        <v>1</v>
      </c>
      <c r="B4" s="18" t="s">
        <v>2</v>
      </c>
      <c r="C4" s="10">
        <v>500</v>
      </c>
      <c r="D4" s="10">
        <f t="shared" ref="D4:D16" si="0">C4*0.15</f>
        <v>75</v>
      </c>
      <c r="E4" s="10">
        <f>C4/$C$18*$E$21</f>
        <v>31.918454935622314</v>
      </c>
      <c r="F4" s="10"/>
      <c r="G4" s="10"/>
      <c r="H4" s="10"/>
      <c r="I4" s="10"/>
      <c r="J4" s="14">
        <f t="shared" ref="J4:J16" si="1">SUM(D4:I4)</f>
        <v>106.91845493562232</v>
      </c>
    </row>
    <row r="5" spans="1:15" x14ac:dyDescent="0.35">
      <c r="A5" s="18">
        <v>2</v>
      </c>
      <c r="B5" s="18" t="s">
        <v>3</v>
      </c>
      <c r="C5" s="10">
        <v>500</v>
      </c>
      <c r="D5" s="10">
        <f t="shared" si="0"/>
        <v>75</v>
      </c>
      <c r="E5" s="10">
        <f t="shared" ref="E5:E16" si="2">C5/$C$18*$E$21</f>
        <v>31.918454935622314</v>
      </c>
      <c r="F5" s="10"/>
      <c r="G5" s="10"/>
      <c r="H5" s="10"/>
      <c r="I5" s="10"/>
      <c r="J5" s="14">
        <f t="shared" si="1"/>
        <v>106.91845493562232</v>
      </c>
    </row>
    <row r="6" spans="1:15" x14ac:dyDescent="0.35">
      <c r="A6" s="18">
        <v>3</v>
      </c>
      <c r="B6" s="18" t="s">
        <v>9</v>
      </c>
      <c r="C6" s="10">
        <v>1050</v>
      </c>
      <c r="D6" s="10">
        <f t="shared" si="0"/>
        <v>157.5</v>
      </c>
      <c r="E6" s="10">
        <f t="shared" si="2"/>
        <v>67.028755364806869</v>
      </c>
      <c r="F6" s="10"/>
      <c r="G6" s="10"/>
      <c r="H6" s="10"/>
      <c r="I6" s="10"/>
      <c r="J6" s="14">
        <f t="shared" si="1"/>
        <v>224.52875536480687</v>
      </c>
    </row>
    <row r="7" spans="1:15" x14ac:dyDescent="0.35">
      <c r="A7" s="18">
        <v>4</v>
      </c>
      <c r="B7" s="18" t="s">
        <v>4</v>
      </c>
      <c r="C7" s="10">
        <v>500</v>
      </c>
      <c r="D7" s="10">
        <f t="shared" si="0"/>
        <v>75</v>
      </c>
      <c r="E7" s="10">
        <f t="shared" si="2"/>
        <v>31.918454935622314</v>
      </c>
      <c r="F7" s="10"/>
      <c r="G7" s="10"/>
      <c r="H7" s="10"/>
      <c r="I7" s="10"/>
      <c r="J7" s="14">
        <f t="shared" si="1"/>
        <v>106.91845493562232</v>
      </c>
    </row>
    <row r="8" spans="1:15" x14ac:dyDescent="0.35">
      <c r="A8" s="18">
        <v>5</v>
      </c>
      <c r="B8" s="18" t="s">
        <v>5</v>
      </c>
      <c r="C8" s="10">
        <v>500</v>
      </c>
      <c r="D8" s="10">
        <f t="shared" si="0"/>
        <v>75</v>
      </c>
      <c r="E8" s="10">
        <f t="shared" si="2"/>
        <v>31.918454935622314</v>
      </c>
      <c r="F8" s="10"/>
      <c r="G8" s="10"/>
      <c r="H8" s="10"/>
      <c r="I8" s="10"/>
      <c r="J8" s="14">
        <f t="shared" si="1"/>
        <v>106.91845493562232</v>
      </c>
    </row>
    <row r="9" spans="1:15" x14ac:dyDescent="0.35">
      <c r="A9" s="18">
        <v>6</v>
      </c>
      <c r="B9" s="18" t="s">
        <v>6</v>
      </c>
      <c r="C9" s="10">
        <v>500</v>
      </c>
      <c r="D9" s="10">
        <f t="shared" si="0"/>
        <v>75</v>
      </c>
      <c r="E9" s="10">
        <f t="shared" si="2"/>
        <v>31.918454935622314</v>
      </c>
      <c r="F9" s="10"/>
      <c r="G9" s="10"/>
      <c r="H9" s="10"/>
      <c r="I9" s="10"/>
      <c r="J9" s="14">
        <f t="shared" si="1"/>
        <v>106.91845493562232</v>
      </c>
      <c r="O9">
        <f>C5/$C$18*$L$23</f>
        <v>0</v>
      </c>
    </row>
    <row r="10" spans="1:15" x14ac:dyDescent="0.35">
      <c r="A10" s="18">
        <v>7</v>
      </c>
      <c r="B10" s="18" t="s">
        <v>7</v>
      </c>
      <c r="C10" s="10">
        <v>1200</v>
      </c>
      <c r="D10" s="10">
        <f t="shared" si="0"/>
        <v>180</v>
      </c>
      <c r="E10" s="10">
        <f t="shared" si="2"/>
        <v>76.604291845493549</v>
      </c>
      <c r="F10" s="10"/>
      <c r="G10" s="10"/>
      <c r="H10" s="10"/>
      <c r="I10" s="10"/>
      <c r="J10" s="14">
        <f t="shared" si="1"/>
        <v>256.60429184549355</v>
      </c>
    </row>
    <row r="11" spans="1:15" x14ac:dyDescent="0.35">
      <c r="A11" s="18">
        <v>8</v>
      </c>
      <c r="B11" s="18" t="s">
        <v>12</v>
      </c>
      <c r="C11" s="10">
        <v>500</v>
      </c>
      <c r="D11" s="10">
        <f t="shared" si="0"/>
        <v>75</v>
      </c>
      <c r="E11" s="10">
        <f t="shared" si="2"/>
        <v>31.918454935622314</v>
      </c>
      <c r="F11" s="10"/>
      <c r="G11" s="10"/>
      <c r="H11" s="10"/>
      <c r="I11" s="10"/>
      <c r="J11" s="14">
        <f t="shared" si="1"/>
        <v>106.91845493562232</v>
      </c>
    </row>
    <row r="12" spans="1:15" x14ac:dyDescent="0.35">
      <c r="A12" s="18">
        <v>9</v>
      </c>
      <c r="B12" s="18" t="s">
        <v>8</v>
      </c>
      <c r="C12" s="10">
        <v>2000</v>
      </c>
      <c r="D12" s="10">
        <f t="shared" si="0"/>
        <v>300</v>
      </c>
      <c r="E12" s="10">
        <f t="shared" si="2"/>
        <v>127.67381974248926</v>
      </c>
      <c r="F12" s="10"/>
      <c r="G12" s="10"/>
      <c r="H12" s="10"/>
      <c r="I12" s="10"/>
      <c r="J12" s="14">
        <f t="shared" si="1"/>
        <v>427.67381974248929</v>
      </c>
    </row>
    <row r="13" spans="1:15" x14ac:dyDescent="0.35">
      <c r="A13" s="18">
        <v>10</v>
      </c>
      <c r="B13" s="18" t="s">
        <v>13</v>
      </c>
      <c r="C13" s="10">
        <v>500</v>
      </c>
      <c r="D13" s="10">
        <f t="shared" si="0"/>
        <v>75</v>
      </c>
      <c r="E13" s="10">
        <f t="shared" si="2"/>
        <v>31.918454935622314</v>
      </c>
      <c r="F13" s="10"/>
      <c r="G13" s="10"/>
      <c r="H13" s="10"/>
      <c r="I13" s="10"/>
      <c r="J13" s="14">
        <f t="shared" si="1"/>
        <v>106.91845493562232</v>
      </c>
    </row>
    <row r="14" spans="1:15" x14ac:dyDescent="0.35">
      <c r="A14" s="18">
        <v>11</v>
      </c>
      <c r="B14" s="18" t="s">
        <v>10</v>
      </c>
      <c r="C14" s="10">
        <v>2200</v>
      </c>
      <c r="D14" s="10">
        <f t="shared" si="0"/>
        <v>330</v>
      </c>
      <c r="E14" s="10">
        <f t="shared" si="2"/>
        <v>140.44120171673819</v>
      </c>
      <c r="F14" s="10"/>
      <c r="G14" s="10"/>
      <c r="H14" s="10"/>
      <c r="I14" s="10"/>
      <c r="J14" s="14">
        <f t="shared" si="1"/>
        <v>470.44120171673819</v>
      </c>
    </row>
    <row r="15" spans="1:15" x14ac:dyDescent="0.35">
      <c r="A15" s="18">
        <v>12</v>
      </c>
      <c r="B15" s="18" t="s">
        <v>14</v>
      </c>
      <c r="C15" s="10">
        <v>1000</v>
      </c>
      <c r="D15" s="10">
        <f t="shared" si="0"/>
        <v>150</v>
      </c>
      <c r="E15" s="10">
        <f t="shared" si="2"/>
        <v>63.836909871244629</v>
      </c>
      <c r="F15" s="10"/>
      <c r="G15" s="10"/>
      <c r="H15" s="10"/>
      <c r="I15" s="10"/>
      <c r="J15" s="14">
        <f t="shared" si="1"/>
        <v>213.83690987124464</v>
      </c>
    </row>
    <row r="16" spans="1:15" x14ac:dyDescent="0.35">
      <c r="A16" s="18">
        <v>13</v>
      </c>
      <c r="B16" s="18" t="s">
        <v>11</v>
      </c>
      <c r="C16" s="10">
        <v>700</v>
      </c>
      <c r="D16" s="10">
        <f t="shared" si="0"/>
        <v>105</v>
      </c>
      <c r="E16" s="10">
        <f t="shared" si="2"/>
        <v>44.685836909871242</v>
      </c>
      <c r="F16" s="10"/>
      <c r="G16" s="10"/>
      <c r="H16" s="10"/>
      <c r="I16" s="10"/>
      <c r="J16" s="14">
        <f t="shared" si="1"/>
        <v>149.68583690987123</v>
      </c>
    </row>
    <row r="17" spans="1:10" x14ac:dyDescent="0.35">
      <c r="C17" s="1"/>
      <c r="D17" s="1"/>
      <c r="E17" s="10"/>
      <c r="F17" s="1"/>
      <c r="G17" s="1"/>
      <c r="H17" s="1"/>
      <c r="I17" s="1"/>
      <c r="J17" s="3"/>
    </row>
    <row r="18" spans="1:10" x14ac:dyDescent="0.35">
      <c r="C18" s="3">
        <f>SUM(C4:C17)</f>
        <v>11650</v>
      </c>
      <c r="D18" s="3">
        <f>SUM(D4:D17)</f>
        <v>1747.5</v>
      </c>
      <c r="E18" s="3">
        <f t="shared" ref="E18:H18" si="3">SUM(E4:E17)</f>
        <v>743.69999999999993</v>
      </c>
      <c r="F18" s="3">
        <f t="shared" si="3"/>
        <v>0</v>
      </c>
      <c r="G18" s="3">
        <f t="shared" si="3"/>
        <v>0</v>
      </c>
      <c r="H18" s="3">
        <f t="shared" si="3"/>
        <v>0</v>
      </c>
      <c r="I18" s="1"/>
      <c r="J18" s="3">
        <f>SUM(J4:J17)</f>
        <v>2491.2000000000003</v>
      </c>
    </row>
    <row r="20" spans="1:10" x14ac:dyDescent="0.35">
      <c r="A20" t="s">
        <v>120</v>
      </c>
      <c r="D20" s="4"/>
      <c r="E20" s="4">
        <f>Declarations!J173</f>
        <v>4958</v>
      </c>
    </row>
    <row r="21" spans="1:10" x14ac:dyDescent="0.35">
      <c r="E21" s="4">
        <f>E20*0.15</f>
        <v>743.69999999999993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A1411-1B4C-4EE6-BEDE-A4B64AF9F7D1}">
  <dimension ref="A1:J20"/>
  <sheetViews>
    <sheetView topLeftCell="A2" workbookViewId="0">
      <selection activeCell="K18" sqref="K18"/>
    </sheetView>
  </sheetViews>
  <sheetFormatPr defaultRowHeight="14.5" x14ac:dyDescent="0.35"/>
  <cols>
    <col min="2" max="2" width="17.7265625" bestFit="1" customWidth="1"/>
    <col min="3" max="3" width="10.1796875" bestFit="1" customWidth="1"/>
    <col min="4" max="4" width="9.1796875" bestFit="1" customWidth="1"/>
    <col min="10" max="10" width="11.7265625" bestFit="1" customWidth="1"/>
  </cols>
  <sheetData>
    <row r="1" spans="1:10" x14ac:dyDescent="0.35">
      <c r="A1" s="24" t="s">
        <v>34</v>
      </c>
      <c r="B1" s="24"/>
      <c r="C1" s="23" t="s">
        <v>35</v>
      </c>
      <c r="D1" s="24"/>
      <c r="E1" s="24"/>
      <c r="F1" s="24"/>
      <c r="G1" s="24"/>
      <c r="H1" s="24"/>
      <c r="I1" s="24"/>
      <c r="J1" s="24"/>
    </row>
    <row r="2" spans="1:10" x14ac:dyDescent="0.35">
      <c r="A2" s="20">
        <v>45901</v>
      </c>
      <c r="B2" s="18"/>
      <c r="C2" s="20"/>
      <c r="D2" s="20">
        <v>45901</v>
      </c>
      <c r="E2" s="20">
        <v>45931</v>
      </c>
      <c r="F2" s="20">
        <v>45962</v>
      </c>
      <c r="G2" s="20">
        <v>45992</v>
      </c>
      <c r="H2" s="20"/>
      <c r="I2" s="20"/>
      <c r="J2" s="18" t="s">
        <v>18</v>
      </c>
    </row>
    <row r="3" spans="1:10" x14ac:dyDescent="0.35">
      <c r="A3" s="18" t="s">
        <v>1</v>
      </c>
      <c r="B3" s="18" t="s">
        <v>0</v>
      </c>
      <c r="C3" s="10"/>
      <c r="D3" s="9"/>
      <c r="E3" s="9"/>
      <c r="F3" s="9"/>
      <c r="G3" s="9"/>
      <c r="H3" s="9"/>
      <c r="I3" s="9"/>
      <c r="J3" s="9"/>
    </row>
    <row r="4" spans="1:10" x14ac:dyDescent="0.35">
      <c r="A4" s="18">
        <v>1</v>
      </c>
      <c r="B4" s="18" t="s">
        <v>2</v>
      </c>
      <c r="C4" s="10">
        <v>500</v>
      </c>
      <c r="D4" s="10">
        <f t="shared" ref="D4:D16" si="0">C4*0.15</f>
        <v>75</v>
      </c>
      <c r="E4" s="10"/>
      <c r="F4" s="10"/>
      <c r="G4" s="10"/>
      <c r="H4" s="10"/>
      <c r="I4" s="10"/>
      <c r="J4" s="14">
        <f t="shared" ref="J4:J16" si="1">SUM(D4:I4)</f>
        <v>75</v>
      </c>
    </row>
    <row r="5" spans="1:10" x14ac:dyDescent="0.35">
      <c r="A5" s="18">
        <v>2</v>
      </c>
      <c r="B5" s="18" t="s">
        <v>3</v>
      </c>
      <c r="C5" s="10">
        <v>1500</v>
      </c>
      <c r="D5" s="10">
        <f t="shared" si="0"/>
        <v>225</v>
      </c>
      <c r="E5" s="10"/>
      <c r="F5" s="10"/>
      <c r="G5" s="10"/>
      <c r="H5" s="10"/>
      <c r="I5" s="10"/>
      <c r="J5" s="14">
        <f t="shared" si="1"/>
        <v>225</v>
      </c>
    </row>
    <row r="6" spans="1:10" x14ac:dyDescent="0.35">
      <c r="A6" s="18">
        <v>3</v>
      </c>
      <c r="B6" s="18" t="s">
        <v>9</v>
      </c>
      <c r="C6" s="10">
        <v>1050</v>
      </c>
      <c r="D6" s="10">
        <f t="shared" si="0"/>
        <v>157.5</v>
      </c>
      <c r="E6" s="10"/>
      <c r="F6" s="10"/>
      <c r="G6" s="10"/>
      <c r="H6" s="10"/>
      <c r="I6" s="10"/>
      <c r="J6" s="14">
        <f t="shared" si="1"/>
        <v>157.5</v>
      </c>
    </row>
    <row r="7" spans="1:10" x14ac:dyDescent="0.35">
      <c r="A7" s="18">
        <v>4</v>
      </c>
      <c r="B7" s="18" t="s">
        <v>4</v>
      </c>
      <c r="C7" s="10">
        <v>500</v>
      </c>
      <c r="D7" s="10">
        <f t="shared" si="0"/>
        <v>75</v>
      </c>
      <c r="E7" s="10"/>
      <c r="F7" s="10"/>
      <c r="G7" s="10"/>
      <c r="H7" s="10"/>
      <c r="I7" s="10"/>
      <c r="J7" s="14">
        <f t="shared" si="1"/>
        <v>75</v>
      </c>
    </row>
    <row r="8" spans="1:10" x14ac:dyDescent="0.35">
      <c r="A8" s="18">
        <v>5</v>
      </c>
      <c r="B8" s="18" t="s">
        <v>5</v>
      </c>
      <c r="C8" s="10">
        <v>16350</v>
      </c>
      <c r="D8" s="10">
        <f t="shared" si="0"/>
        <v>2452.5</v>
      </c>
      <c r="E8" s="10"/>
      <c r="F8" s="10"/>
      <c r="G8" s="10"/>
      <c r="H8" s="10"/>
      <c r="I8" s="10"/>
      <c r="J8" s="14">
        <f t="shared" si="1"/>
        <v>2452.5</v>
      </c>
    </row>
    <row r="9" spans="1:10" x14ac:dyDescent="0.35">
      <c r="A9" s="18">
        <v>6</v>
      </c>
      <c r="B9" s="18" t="s">
        <v>6</v>
      </c>
      <c r="C9" s="10">
        <v>500</v>
      </c>
      <c r="D9" s="10">
        <f t="shared" si="0"/>
        <v>75</v>
      </c>
      <c r="E9" s="10"/>
      <c r="F9" s="10"/>
      <c r="G9" s="10"/>
      <c r="H9" s="10"/>
      <c r="I9" s="10"/>
      <c r="J9" s="14">
        <f t="shared" si="1"/>
        <v>75</v>
      </c>
    </row>
    <row r="10" spans="1:10" x14ac:dyDescent="0.35">
      <c r="A10" s="18">
        <v>7</v>
      </c>
      <c r="B10" s="18" t="s">
        <v>7</v>
      </c>
      <c r="C10" s="10">
        <v>500</v>
      </c>
      <c r="D10" s="10">
        <f t="shared" si="0"/>
        <v>75</v>
      </c>
      <c r="E10" s="10"/>
      <c r="F10" s="10"/>
      <c r="G10" s="10"/>
      <c r="H10" s="10"/>
      <c r="I10" s="10"/>
      <c r="J10" s="14">
        <f t="shared" si="1"/>
        <v>75</v>
      </c>
    </row>
    <row r="11" spans="1:10" x14ac:dyDescent="0.35">
      <c r="A11" s="18">
        <v>8</v>
      </c>
      <c r="B11" s="18" t="s">
        <v>12</v>
      </c>
      <c r="C11" s="10">
        <v>500</v>
      </c>
      <c r="D11" s="10">
        <f t="shared" si="0"/>
        <v>75</v>
      </c>
      <c r="E11" s="10"/>
      <c r="F11" s="10"/>
      <c r="G11" s="10"/>
      <c r="H11" s="10"/>
      <c r="I11" s="10"/>
      <c r="J11" s="14">
        <f t="shared" si="1"/>
        <v>75</v>
      </c>
    </row>
    <row r="12" spans="1:10" x14ac:dyDescent="0.35">
      <c r="A12" s="18">
        <v>9</v>
      </c>
      <c r="B12" s="18" t="s">
        <v>8</v>
      </c>
      <c r="C12" s="10">
        <v>1200</v>
      </c>
      <c r="D12" s="10">
        <f t="shared" si="0"/>
        <v>180</v>
      </c>
      <c r="E12" s="10"/>
      <c r="F12" s="10"/>
      <c r="G12" s="10"/>
      <c r="H12" s="10"/>
      <c r="I12" s="10"/>
      <c r="J12" s="14">
        <f t="shared" si="1"/>
        <v>180</v>
      </c>
    </row>
    <row r="13" spans="1:10" x14ac:dyDescent="0.35">
      <c r="A13" s="18">
        <v>10</v>
      </c>
      <c r="B13" s="18" t="s">
        <v>13</v>
      </c>
      <c r="C13" s="10">
        <v>500</v>
      </c>
      <c r="D13" s="10">
        <f t="shared" si="0"/>
        <v>75</v>
      </c>
      <c r="E13" s="10"/>
      <c r="F13" s="10"/>
      <c r="G13" s="10"/>
      <c r="H13" s="10"/>
      <c r="I13" s="10"/>
      <c r="J13" s="14">
        <f t="shared" si="1"/>
        <v>75</v>
      </c>
    </row>
    <row r="14" spans="1:10" x14ac:dyDescent="0.35">
      <c r="A14" s="18">
        <v>11</v>
      </c>
      <c r="B14" s="18" t="s">
        <v>10</v>
      </c>
      <c r="C14" s="10">
        <v>3100</v>
      </c>
      <c r="D14" s="10">
        <f t="shared" si="0"/>
        <v>465</v>
      </c>
      <c r="E14" s="10"/>
      <c r="F14" s="10"/>
      <c r="G14" s="10"/>
      <c r="H14" s="10"/>
      <c r="I14" s="10"/>
      <c r="J14" s="14">
        <f t="shared" si="1"/>
        <v>465</v>
      </c>
    </row>
    <row r="15" spans="1:10" x14ac:dyDescent="0.35">
      <c r="A15" s="18">
        <v>12</v>
      </c>
      <c r="B15" s="18" t="s">
        <v>14</v>
      </c>
      <c r="C15" s="10">
        <v>1000</v>
      </c>
      <c r="D15" s="10">
        <f t="shared" si="0"/>
        <v>150</v>
      </c>
      <c r="E15" s="10"/>
      <c r="F15" s="10"/>
      <c r="G15" s="10"/>
      <c r="H15" s="10"/>
      <c r="I15" s="10"/>
      <c r="J15" s="14">
        <f t="shared" si="1"/>
        <v>150</v>
      </c>
    </row>
    <row r="16" spans="1:10" x14ac:dyDescent="0.35">
      <c r="A16" s="18">
        <v>13</v>
      </c>
      <c r="B16" s="18" t="s">
        <v>11</v>
      </c>
      <c r="C16" s="10">
        <v>800</v>
      </c>
      <c r="D16" s="10">
        <f t="shared" si="0"/>
        <v>120</v>
      </c>
      <c r="E16" s="10"/>
      <c r="F16" s="10"/>
      <c r="G16" s="10"/>
      <c r="H16" s="10"/>
      <c r="I16" s="10"/>
      <c r="J16" s="14">
        <f t="shared" si="1"/>
        <v>120</v>
      </c>
    </row>
    <row r="17" spans="3:10" x14ac:dyDescent="0.35">
      <c r="C17" s="1"/>
      <c r="D17" s="1"/>
      <c r="E17" s="1"/>
      <c r="F17" s="1"/>
      <c r="G17" s="1"/>
      <c r="H17" s="1"/>
      <c r="I17" s="1"/>
      <c r="J17" s="3"/>
    </row>
    <row r="18" spans="3:10" x14ac:dyDescent="0.35">
      <c r="C18" s="3">
        <f>SUM(C4:C17)</f>
        <v>28000</v>
      </c>
      <c r="D18" s="3">
        <f>SUM(D4:D17)</f>
        <v>4200</v>
      </c>
      <c r="E18" s="3">
        <f t="shared" ref="E18:H18" si="2">SUM(E4:E17)</f>
        <v>0</v>
      </c>
      <c r="F18" s="3">
        <f t="shared" si="2"/>
        <v>0</v>
      </c>
      <c r="G18" s="3">
        <f t="shared" si="2"/>
        <v>0</v>
      </c>
      <c r="H18" s="3">
        <f t="shared" si="2"/>
        <v>0</v>
      </c>
      <c r="I18" s="1"/>
      <c r="J18" s="3">
        <f>SUM(J4:J17)</f>
        <v>4200</v>
      </c>
    </row>
    <row r="20" spans="3:10" x14ac:dyDescent="0.35">
      <c r="D20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21652-063A-42D1-B7C0-818E36A84FE4}">
  <dimension ref="A1:I16"/>
  <sheetViews>
    <sheetView workbookViewId="0">
      <selection activeCell="H7" sqref="H7:H11"/>
    </sheetView>
  </sheetViews>
  <sheetFormatPr defaultRowHeight="14.5" x14ac:dyDescent="0.35"/>
  <cols>
    <col min="3" max="9" width="10.1796875" bestFit="1" customWidth="1"/>
  </cols>
  <sheetData>
    <row r="1" spans="1:9" x14ac:dyDescent="0.35">
      <c r="A1" s="5"/>
    </row>
    <row r="5" spans="1:9" x14ac:dyDescent="0.35">
      <c r="C5" s="1">
        <v>51500</v>
      </c>
      <c r="D5" s="1">
        <v>91800</v>
      </c>
      <c r="E5" s="1">
        <v>60545</v>
      </c>
      <c r="F5" s="1">
        <v>31000</v>
      </c>
      <c r="G5" s="1">
        <v>59100</v>
      </c>
      <c r="H5" s="1">
        <v>78926.75</v>
      </c>
      <c r="I5" s="1">
        <v>61100</v>
      </c>
    </row>
    <row r="6" spans="1:9" x14ac:dyDescent="0.35">
      <c r="C6" s="1">
        <v>51500</v>
      </c>
      <c r="D6" s="1">
        <v>85550</v>
      </c>
      <c r="E6" s="1">
        <v>46750</v>
      </c>
      <c r="F6" s="1">
        <v>14200</v>
      </c>
      <c r="G6" s="1">
        <v>30100</v>
      </c>
      <c r="H6" s="1">
        <v>18700</v>
      </c>
      <c r="I6" s="1">
        <v>13900</v>
      </c>
    </row>
    <row r="7" spans="1:9" x14ac:dyDescent="0.35">
      <c r="A7" t="s">
        <v>99</v>
      </c>
      <c r="D7" s="4">
        <v>6250</v>
      </c>
      <c r="E7" s="4">
        <v>6225</v>
      </c>
      <c r="F7" s="4">
        <v>6650</v>
      </c>
      <c r="G7" s="4">
        <v>12200</v>
      </c>
      <c r="H7" s="4">
        <v>27900</v>
      </c>
      <c r="I7" s="4">
        <v>17600</v>
      </c>
    </row>
    <row r="8" spans="1:9" x14ac:dyDescent="0.35">
      <c r="A8" t="s">
        <v>100</v>
      </c>
      <c r="E8" s="4">
        <v>7570</v>
      </c>
      <c r="F8" s="4">
        <v>5800</v>
      </c>
      <c r="G8" s="4">
        <v>5800</v>
      </c>
      <c r="H8" s="4">
        <v>5800</v>
      </c>
      <c r="I8" s="4">
        <v>7500</v>
      </c>
    </row>
    <row r="9" spans="1:9" x14ac:dyDescent="0.35">
      <c r="A9" t="s">
        <v>101</v>
      </c>
      <c r="F9" s="4">
        <v>3750</v>
      </c>
      <c r="G9" s="4">
        <v>2850</v>
      </c>
      <c r="H9" s="4">
        <v>10376.75</v>
      </c>
      <c r="I9" s="4">
        <v>9750</v>
      </c>
    </row>
    <row r="10" spans="1:9" x14ac:dyDescent="0.35">
      <c r="A10" t="s">
        <v>102</v>
      </c>
      <c r="G10" s="4">
        <v>8150</v>
      </c>
      <c r="H10" s="4">
        <v>9450</v>
      </c>
      <c r="I10" s="4">
        <v>11200</v>
      </c>
    </row>
    <row r="11" spans="1:9" x14ac:dyDescent="0.35">
      <c r="A11" t="s">
        <v>93</v>
      </c>
      <c r="H11" s="4">
        <v>6700</v>
      </c>
      <c r="I11" s="4">
        <v>1150</v>
      </c>
    </row>
    <row r="12" spans="1:9" x14ac:dyDescent="0.35">
      <c r="A12" t="s">
        <v>103</v>
      </c>
    </row>
    <row r="13" spans="1:9" x14ac:dyDescent="0.35">
      <c r="A13" t="s">
        <v>104</v>
      </c>
    </row>
    <row r="14" spans="1:9" x14ac:dyDescent="0.35">
      <c r="A14" t="s">
        <v>105</v>
      </c>
      <c r="F14" s="1">
        <v>600</v>
      </c>
    </row>
    <row r="15" spans="1:9" x14ac:dyDescent="0.35">
      <c r="C15" s="4">
        <f>SUM(C6:C14)</f>
        <v>51500</v>
      </c>
      <c r="D15" s="4">
        <f t="shared" ref="D15:I15" si="0">SUM(D6:D14)</f>
        <v>91800</v>
      </c>
      <c r="E15" s="4">
        <f t="shared" si="0"/>
        <v>60545</v>
      </c>
      <c r="F15" s="4">
        <f t="shared" si="0"/>
        <v>31000</v>
      </c>
      <c r="G15" s="4">
        <f t="shared" si="0"/>
        <v>59100</v>
      </c>
      <c r="H15" s="4">
        <f t="shared" si="0"/>
        <v>78926.75</v>
      </c>
      <c r="I15" s="4">
        <f t="shared" si="0"/>
        <v>61100</v>
      </c>
    </row>
    <row r="16" spans="1:9" x14ac:dyDescent="0.35">
      <c r="C16" s="4">
        <f>C5-C15</f>
        <v>0</v>
      </c>
      <c r="D16" s="4">
        <f t="shared" ref="D16:I16" si="1">D5-D15</f>
        <v>0</v>
      </c>
      <c r="E16" s="4">
        <f t="shared" si="1"/>
        <v>0</v>
      </c>
      <c r="F16" s="4">
        <f t="shared" si="1"/>
        <v>0</v>
      </c>
      <c r="G16" s="4">
        <f t="shared" si="1"/>
        <v>0</v>
      </c>
      <c r="H16" s="4">
        <f t="shared" si="1"/>
        <v>0</v>
      </c>
      <c r="I16" s="4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12</vt:i4>
      </vt:variant>
    </vt:vector>
  </HeadingPairs>
  <TitlesOfParts>
    <vt:vector size="30" baseType="lpstr">
      <vt:lpstr>Transaction Summary</vt:lpstr>
      <vt:lpstr>Summary</vt:lpstr>
      <vt:lpstr>Savings</vt:lpstr>
      <vt:lpstr>Declarations</vt:lpstr>
      <vt:lpstr>Loan statements</vt:lpstr>
      <vt:lpstr>Loans disbursed</vt:lpstr>
      <vt:lpstr>Total Interest earned</vt:lpstr>
      <vt:lpstr>Penalty interest</vt:lpstr>
      <vt:lpstr>Jan Loan Interest</vt:lpstr>
      <vt:lpstr>Feb Loan Interest</vt:lpstr>
      <vt:lpstr>Mar Loan Interest </vt:lpstr>
      <vt:lpstr>Apr Loan Interest</vt:lpstr>
      <vt:lpstr>May loan interest</vt:lpstr>
      <vt:lpstr>June loan interest </vt:lpstr>
      <vt:lpstr>July Loan interest</vt:lpstr>
      <vt:lpstr>August Loan Interest</vt:lpstr>
      <vt:lpstr>September Loan Interest</vt:lpstr>
      <vt:lpstr>Interest equity</vt:lpstr>
      <vt:lpstr>'Apr Loan Interest'!Print_Area</vt:lpstr>
      <vt:lpstr>Declarations!Print_Area</vt:lpstr>
      <vt:lpstr>'Feb Loan Interest'!Print_Area</vt:lpstr>
      <vt:lpstr>'Jan Loan Interest'!Print_Area</vt:lpstr>
      <vt:lpstr>'Loan statements'!Print_Area</vt:lpstr>
      <vt:lpstr>'Loans disbursed'!Print_Area</vt:lpstr>
      <vt:lpstr>'Mar Loan Interest '!Print_Area</vt:lpstr>
      <vt:lpstr>'Penalty interest'!Print_Area</vt:lpstr>
      <vt:lpstr>Savings!Print_Area</vt:lpstr>
      <vt:lpstr>Summary!Print_Area</vt:lpstr>
      <vt:lpstr>'Total Interest earned'!Print_Area</vt:lpstr>
      <vt:lpstr>'Transaction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Kababa Kangwa</dc:creator>
  <cp:lastModifiedBy>Kababa Kangwa</cp:lastModifiedBy>
  <cp:lastPrinted>2025-10-04T22:33:10Z</cp:lastPrinted>
  <dcterms:created xsi:type="dcterms:W3CDTF">2025-02-04T13:12:35Z</dcterms:created>
  <dcterms:modified xsi:type="dcterms:W3CDTF">2025-10-04T22:33:53Z</dcterms:modified>
</cp:coreProperties>
</file>